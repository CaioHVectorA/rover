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ver ESP32-S3" sheetId="1" state="visible" r:id="rId1"/>
    <sheet name="Rover Raspberry Pi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375623"/>
      <sz val="11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F0D9"/>
        <bgColor rgb="00E2F0D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ocore.net/atuador/micro-servo-9g-sg90-towerpro" TargetMode="External" Id="rId1" /><Relationship Type="http://schemas.openxmlformats.org/officeDocument/2006/relationships/hyperlink" Target="https://www.robocore.net/motor-caixas-de-reducao/micro-motor-com-caixa-de-reducao-6v-100rpm" TargetMode="External" Id="rId2" /><Relationship Type="http://schemas.openxmlformats.org/officeDocument/2006/relationships/hyperlink" Target="https://www.robocore.net/roda/roda-stickymax-s20-22mm" TargetMode="External" Id="rId3" /><Relationship Type="http://schemas.openxmlformats.org/officeDocument/2006/relationships/hyperlink" Target="https://www.robocore.net/item-mecanico/suporte-para-micro-motores" TargetMode="External" Id="rId4" /><Relationship Type="http://schemas.openxmlformats.org/officeDocument/2006/relationships/hyperlink" Target="https://www.robocore.net/driver-motor/driver-motor-ponte-h-l298n" TargetMode="External" Id="rId5" /><Relationship Type="http://schemas.openxmlformats.org/officeDocument/2006/relationships/hyperlink" Target="https://www.robocore.net/driver-motor/driver-motor-ponte-h-l298n" TargetMode="External" Id="rId6" /><Relationship Type="http://schemas.openxmlformats.org/officeDocument/2006/relationships/hyperlink" Target="https://www.robocore.net/regulador-de-tensao/conversor-dc-dc-step-down-mini-560-5v" TargetMode="External" Id="rId7" /><Relationship Type="http://schemas.openxmlformats.org/officeDocument/2006/relationships/hyperlink" Target="https://www.robocore.net/baterias-fontes/pack-bateria-li-ion-7_4v-2500mah-com-bms" TargetMode="External" Id="rId8" /><Relationship Type="http://schemas.openxmlformats.org/officeDocument/2006/relationships/hyperlink" Target="https://www.robocore.net/cabo/cabo-jst-rcy-2-pinos-femea" TargetMode="External" Id="rId9" /><Relationship Type="http://schemas.openxmlformats.org/officeDocument/2006/relationships/hyperlink" Target="https://www.robocore.net/atuador/modulo-buzzer-5v-passivo" TargetMode="External" Id="rId10" /><Relationship Type="http://schemas.openxmlformats.org/officeDocument/2006/relationships/hyperlink" Target="https://www.robocore.net/led/modulo-ws2812-led-enderecavel-8-leds" TargetMode="External" Id="rId11" /><Relationship Type="http://schemas.openxmlformats.org/officeDocument/2006/relationships/hyperlink" Target="https://www.robocore.net/botao-chave/chave-gangorra-kcd1-101-2t" TargetMode="External" Id="rId12" /><Relationship Type="http://schemas.openxmlformats.org/officeDocument/2006/relationships/hyperlink" Target="https://www.robocore.net/cabo/jumpers-femea-femea-x40-unidades" TargetMode="External" Id="rId13" /><Relationship Type="http://schemas.openxmlformats.org/officeDocument/2006/relationships/hyperlink" Target="https://www.robocore.net/cabo/jumpers-macho-macho-x40-cabos" TargetMode="External" Id="rId14" /><Relationship Type="http://schemas.openxmlformats.org/officeDocument/2006/relationships/hyperlink" Target="https://www.robocore.net/placa-arduino/placa-nano-v3-com-cabo-usb-para-arduino" TargetMode="External" Id="rId15" /><Relationship Type="http://schemas.openxmlformats.org/officeDocument/2006/relationships/hyperlink" Target="https://www.mercadolivre.com.br/p/MLB2061307865?matt_tool=38524122&amp;pdp_filters=item_id:MLB5139266661" TargetMode="External" Id="rId16" /><Relationship Type="http://schemas.openxmlformats.org/officeDocument/2006/relationships/hyperlink" Target="https://www.mercadolivre.com.br/cartao-de-memoria-micro-sd-sandisk-ultra-32gb-120mbs-c10-a1/p/MLB20654826" TargetMode="External" Id="rId17" /><Relationship Type="http://schemas.openxmlformats.org/officeDocument/2006/relationships/hyperlink" Target="https://www.mercadolivre.com.br/modulo-acelerometro-giroscopio-mpu6050-gy521/up/MLBU4448831937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obocore.net/atuador/micro-servo-9g-sg90-towerpro" TargetMode="External" Id="rId1" /><Relationship Type="http://schemas.openxmlformats.org/officeDocument/2006/relationships/hyperlink" Target="https://www.robocore.net/acessorios-raspberry-pi/camera-para-raspberry-pi-rev-1-3" TargetMode="External" Id="rId2" /><Relationship Type="http://schemas.openxmlformats.org/officeDocument/2006/relationships/hyperlink" Target="https://www.robocore.net/item-mecanico/suporte-pan-tilt-para-camera-raspberry-pi" TargetMode="External" Id="rId3" /><Relationship Type="http://schemas.openxmlformats.org/officeDocument/2006/relationships/hyperlink" Target="https://www.robocore.net/motor-caixas-de-reducao/micro-motor-com-caixa-de-reducao-6v-100rpm" TargetMode="External" Id="rId4" /><Relationship Type="http://schemas.openxmlformats.org/officeDocument/2006/relationships/hyperlink" Target="https://www.robocore.net/roda/roda-stickymax-s20-22mm" TargetMode="External" Id="rId5" /><Relationship Type="http://schemas.openxmlformats.org/officeDocument/2006/relationships/hyperlink" Target="https://www.robocore.net/item-mecanico/suporte-para-micro-motores" TargetMode="External" Id="rId6" /><Relationship Type="http://schemas.openxmlformats.org/officeDocument/2006/relationships/hyperlink" Target="https://www.robocore.net/driver-motor/driver-motor-ponte-h-l298n" TargetMode="External" Id="rId7" /><Relationship Type="http://schemas.openxmlformats.org/officeDocument/2006/relationships/hyperlink" Target="https://www.robocore.net/driver-motor/driver-motor-ponte-h-l298n" TargetMode="External" Id="rId8" /><Relationship Type="http://schemas.openxmlformats.org/officeDocument/2006/relationships/hyperlink" Target="https://www.robocore.net/regulador-de-tensao/conversor-dc-dc-step-down-mini-560-5v" TargetMode="External" Id="rId9" /><Relationship Type="http://schemas.openxmlformats.org/officeDocument/2006/relationships/hyperlink" Target="https://www.robocore.net/baterias-fontes/pack-bateria-li-ion-7_4v-2500mah-com-bms" TargetMode="External" Id="rId10" /><Relationship Type="http://schemas.openxmlformats.org/officeDocument/2006/relationships/hyperlink" Target="https://www.robocore.net/cabo/cabo-jst-rcy-2-pinos-femea" TargetMode="External" Id="rId11" /><Relationship Type="http://schemas.openxmlformats.org/officeDocument/2006/relationships/hyperlink" Target="https://www.robocore.net/atuador/modulo-buzzer-5v-passivo" TargetMode="External" Id="rId12" /><Relationship Type="http://schemas.openxmlformats.org/officeDocument/2006/relationships/hyperlink" Target="https://www.robocore.net/led/modulo-ws2812-led-enderecavel-8-leds" TargetMode="External" Id="rId13" /><Relationship Type="http://schemas.openxmlformats.org/officeDocument/2006/relationships/hyperlink" Target="https://www.robocore.net/botao-chave/chave-gangorra-kcd1-101-2t" TargetMode="External" Id="rId14" /><Relationship Type="http://schemas.openxmlformats.org/officeDocument/2006/relationships/hyperlink" Target="https://www.robocore.net/cabo/jumpers-femea-femea-x40-unidades" TargetMode="External" Id="rId15" /><Relationship Type="http://schemas.openxmlformats.org/officeDocument/2006/relationships/hyperlink" Target="https://www.robocore.net/cabo/jumpers-macho-macho-x40-cabos" TargetMode="External" Id="rId16" /><Relationship Type="http://schemas.openxmlformats.org/officeDocument/2006/relationships/hyperlink" Target="https://www.robocore.net/placa-arduino/placa-nano-v3-com-cabo-usb-para-arduino" TargetMode="External" Id="rId17" /><Relationship Type="http://schemas.openxmlformats.org/officeDocument/2006/relationships/hyperlink" Target="https://www.mercadolivre.com.br/raspberry-pi3-pi-3-model-b-quadcore-12ghz/p/MLB42963336" TargetMode="External" Id="rId18" /><Relationship Type="http://schemas.openxmlformats.org/officeDocument/2006/relationships/hyperlink" Target="https://www.mercadolivre.com.br/memoria-microsd-profissional-sandisk-ultra-64gb-120-mbs-a1/p/MLB23033439" TargetMode="External" Id="rId19" /><Relationship Type="http://schemas.openxmlformats.org/officeDocument/2006/relationships/hyperlink" Target="https://www.mercadolivre.com.br/modulo-acelerometro-giroscopio-mpu6050-gy521/up/MLBU4448831937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56" customWidth="1" min="2" max="2"/>
    <col width="16" customWidth="1" min="3" max="3"/>
    <col width="7" customWidth="1" min="4" max="4"/>
    <col width="20" customWidth="1" min="5" max="5"/>
    <col width="24" customWidth="1" min="6" max="6"/>
    <col width="20" customWidth="1" min="7" max="7"/>
    <col width="14" customWidth="1" min="8" max="8"/>
    <col width="16" customWidth="1" min="9" max="9"/>
  </cols>
  <sheetData>
    <row r="1" ht="26" customHeight="1">
      <c r="A1" s="1" t="inlineStr">
        <is>
          <t>Item</t>
        </is>
      </c>
      <c r="B1" s="1" t="inlineStr">
        <is>
          <t>Produto</t>
        </is>
      </c>
      <c r="C1" s="1" t="inlineStr">
        <is>
          <t>Loja</t>
        </is>
      </c>
      <c r="D1" s="1" t="inlineStr">
        <is>
          <t>Qtd</t>
        </is>
      </c>
      <c r="E1" s="1" t="inlineStr">
        <is>
          <t>Preço Unitário (R$)</t>
        </is>
      </c>
      <c r="F1" s="1" t="inlineStr">
        <is>
          <t>Preço à Vista PIX (R$)</t>
        </is>
      </c>
      <c r="G1" s="1" t="inlineStr">
        <is>
          <t>Subtotal à Vista (R$)</t>
        </is>
      </c>
      <c r="H1" s="1" t="inlineStr">
        <is>
          <t>Opcional (0/1)</t>
        </is>
      </c>
      <c r="I1" s="1" t="inlineStr">
        <is>
          <t>Link Direto</t>
        </is>
      </c>
    </row>
    <row r="2" ht="20" customHeight="1">
      <c r="A2" s="2" t="n">
        <v>1</v>
      </c>
      <c r="B2" s="3" t="inlineStr">
        <is>
          <t>Micro Servo 9g SG90 (TowerPro)</t>
        </is>
      </c>
      <c r="C2" s="2" t="inlineStr">
        <is>
          <t>RoboCore</t>
        </is>
      </c>
      <c r="D2" s="2" t="n">
        <v>2</v>
      </c>
      <c r="E2" s="4" t="n">
        <v>13.67</v>
      </c>
      <c r="F2" s="4">
        <f>IF(OR(C2="RoboCore", C2="Robo Core"), ROUND(E2*0.95, 2), E2)</f>
        <v/>
      </c>
      <c r="G2" s="4">
        <f>D2*F2</f>
        <v/>
      </c>
      <c r="H2" s="2" t="n">
        <v>0</v>
      </c>
      <c r="I2" s="5" t="inlineStr">
        <is>
          <t>Abrir Produto</t>
        </is>
      </c>
    </row>
    <row r="3" ht="20" customHeight="1">
      <c r="A3" s="2" t="n">
        <v>2</v>
      </c>
      <c r="B3" s="3" t="inlineStr">
        <is>
          <t>Micro Motor DC 6V 100RPM Redução Metal</t>
        </is>
      </c>
      <c r="C3" s="2" t="inlineStr">
        <is>
          <t>RoboCore</t>
        </is>
      </c>
      <c r="D3" s="2" t="n">
        <v>4</v>
      </c>
      <c r="E3" s="4" t="n">
        <v>29.9</v>
      </c>
      <c r="F3" s="4">
        <f>IF(OR(C3="RoboCore", C3="Robo Core"), ROUND(E3*0.95, 2), E3)</f>
        <v/>
      </c>
      <c r="G3" s="4">
        <f>D3*F3</f>
        <v/>
      </c>
      <c r="H3" s="2" t="n">
        <v>0</v>
      </c>
      <c r="I3" s="5" t="inlineStr">
        <is>
          <t>Abrir Produto</t>
        </is>
      </c>
    </row>
    <row r="4" ht="20" customHeight="1">
      <c r="A4" s="2" t="n">
        <v>3</v>
      </c>
      <c r="B4" s="3" t="inlineStr">
        <is>
          <t>StickyMAX - Roda S20 Macia 22mm</t>
        </is>
      </c>
      <c r="C4" s="2" t="inlineStr">
        <is>
          <t>RoboCore</t>
        </is>
      </c>
      <c r="D4" s="2" t="n">
        <v>4</v>
      </c>
      <c r="E4" s="4" t="n">
        <v>39.9</v>
      </c>
      <c r="F4" s="4">
        <f>IF(OR(C4="RoboCore", C4="Robo Core"), ROUND(E4*0.95, 2), E4)</f>
        <v/>
      </c>
      <c r="G4" s="4">
        <f>D4*F4</f>
        <v/>
      </c>
      <c r="H4" s="2" t="n">
        <v>0</v>
      </c>
      <c r="I4" s="5" t="inlineStr">
        <is>
          <t>Abrir Produto</t>
        </is>
      </c>
    </row>
    <row r="5" ht="20" customHeight="1">
      <c r="A5" s="2" t="n">
        <v>4</v>
      </c>
      <c r="B5" s="3" t="inlineStr">
        <is>
          <t>Suporte para Micro Motores (Par Branco)</t>
        </is>
      </c>
      <c r="C5" s="2" t="inlineStr">
        <is>
          <t>RoboCore</t>
        </is>
      </c>
      <c r="D5" s="2" t="n">
        <v>2</v>
      </c>
      <c r="E5" s="4" t="n">
        <v>9.9</v>
      </c>
      <c r="F5" s="4">
        <f>IF(OR(C5="RoboCore", C5="Robo Core"), ROUND(E5*0.95, 2), E5)</f>
        <v/>
      </c>
      <c r="G5" s="4">
        <f>D5*F5</f>
        <v/>
      </c>
      <c r="H5" s="2" t="n">
        <v>0</v>
      </c>
      <c r="I5" s="5" t="inlineStr">
        <is>
          <t>Abrir Produto</t>
        </is>
      </c>
    </row>
    <row r="6" ht="20" customHeight="1">
      <c r="A6" s="2" t="n">
        <v>5</v>
      </c>
      <c r="B6" s="3" t="inlineStr">
        <is>
          <t>Módulo Driver Ponte H - L298N (Driver 1)</t>
        </is>
      </c>
      <c r="C6" s="2" t="inlineStr">
        <is>
          <t>RoboCore</t>
        </is>
      </c>
      <c r="D6" s="2" t="n">
        <v>1</v>
      </c>
      <c r="E6" s="4" t="n">
        <v>14.9</v>
      </c>
      <c r="F6" s="4">
        <f>IF(OR(C6="RoboCore", C6="Robo Core"), ROUND(E6*0.95, 2), E6)</f>
        <v/>
      </c>
      <c r="G6" s="4">
        <f>D6*F6</f>
        <v/>
      </c>
      <c r="H6" s="2" t="n">
        <v>0</v>
      </c>
      <c r="I6" s="5" t="inlineStr">
        <is>
          <t>Abrir Produto</t>
        </is>
      </c>
    </row>
    <row r="7" ht="20" customHeight="1">
      <c r="A7" s="2" t="n">
        <v>6</v>
      </c>
      <c r="B7" s="3" t="inlineStr">
        <is>
          <t>Módulo Driver Ponte H - L298N (Driver 2)</t>
        </is>
      </c>
      <c r="C7" s="2" t="inlineStr">
        <is>
          <t>RoboCore</t>
        </is>
      </c>
      <c r="D7" s="2" t="n">
        <v>1</v>
      </c>
      <c r="E7" s="4" t="n">
        <v>14.9</v>
      </c>
      <c r="F7" s="4">
        <f>IF(OR(C7="RoboCore", C7="Robo Core"), ROUND(E7*0.95, 2), E7)</f>
        <v/>
      </c>
      <c r="G7" s="4">
        <f>D7*F7</f>
        <v/>
      </c>
      <c r="H7" s="2" t="n">
        <v>0</v>
      </c>
      <c r="I7" s="5" t="inlineStr">
        <is>
          <t>Abrir Produto</t>
        </is>
      </c>
    </row>
    <row r="8" ht="20" customHeight="1">
      <c r="A8" s="2" t="n">
        <v>7</v>
      </c>
      <c r="B8" s="3" t="inlineStr">
        <is>
          <t>Conversor DC/DC Step Down Mini 560 5V (5A)</t>
        </is>
      </c>
      <c r="C8" s="2" t="inlineStr">
        <is>
          <t>RoboCore</t>
        </is>
      </c>
      <c r="D8" s="2" t="n">
        <v>1</v>
      </c>
      <c r="E8" s="4" t="n">
        <v>7.5</v>
      </c>
      <c r="F8" s="4">
        <f>IF(OR(C8="RoboCore", C8="Robo Core"), ROUND(E8*0.95, 2), E8)</f>
        <v/>
      </c>
      <c r="G8" s="4">
        <f>D8*F8</f>
        <v/>
      </c>
      <c r="H8" s="2" t="n">
        <v>0</v>
      </c>
      <c r="I8" s="5" t="inlineStr">
        <is>
          <t>Abrir Produto</t>
        </is>
      </c>
    </row>
    <row r="9" ht="20" customHeight="1">
      <c r="A9" s="2" t="n">
        <v>8</v>
      </c>
      <c r="B9" s="3" t="inlineStr">
        <is>
          <t>Pack Bateria Li-Ion 7,4V 2500mAh com BMS</t>
        </is>
      </c>
      <c r="C9" s="2" t="inlineStr">
        <is>
          <t>RoboCore</t>
        </is>
      </c>
      <c r="D9" s="2" t="n">
        <v>1</v>
      </c>
      <c r="E9" s="4" t="n">
        <v>69.90000000000001</v>
      </c>
      <c r="F9" s="4">
        <f>IF(OR(C9="RoboCore", C9="Robo Core"), ROUND(E9*0.95, 2), E9)</f>
        <v/>
      </c>
      <c r="G9" s="4">
        <f>D9*F9</f>
        <v/>
      </c>
      <c r="H9" s="2" t="n">
        <v>0</v>
      </c>
      <c r="I9" s="5" t="inlineStr">
        <is>
          <t>Abrir Produto</t>
        </is>
      </c>
    </row>
    <row r="10" ht="20" customHeight="1">
      <c r="A10" s="2" t="n">
        <v>9</v>
      </c>
      <c r="B10" s="3" t="inlineStr">
        <is>
          <t>Cabo JST-RCY 2 pinos Fêmea</t>
        </is>
      </c>
      <c r="C10" s="2" t="inlineStr">
        <is>
          <t>RoboCore</t>
        </is>
      </c>
      <c r="D10" s="2" t="n">
        <v>1</v>
      </c>
      <c r="E10" s="4" t="n">
        <v>1.9</v>
      </c>
      <c r="F10" s="4">
        <f>IF(OR(C10="RoboCore", C10="Robo Core"), ROUND(E10*0.95, 2), E10)</f>
        <v/>
      </c>
      <c r="G10" s="4">
        <f>D10*F10</f>
        <v/>
      </c>
      <c r="H10" s="2" t="n">
        <v>0</v>
      </c>
      <c r="I10" s="5" t="inlineStr">
        <is>
          <t>Abrir Produto</t>
        </is>
      </c>
    </row>
    <row r="11" ht="20" customHeight="1">
      <c r="A11" s="2" t="n">
        <v>10</v>
      </c>
      <c r="B11" s="3" t="inlineStr">
        <is>
          <t>Módulo Buzzer 5V Passivo</t>
        </is>
      </c>
      <c r="C11" s="2" t="inlineStr">
        <is>
          <t>RoboCore</t>
        </is>
      </c>
      <c r="D11" s="2" t="n">
        <v>1</v>
      </c>
      <c r="E11" s="4" t="n">
        <v>4.9</v>
      </c>
      <c r="F11" s="4">
        <f>IF(OR(C11="RoboCore", C11="Robo Core"), ROUND(E11*0.95, 2), E11)</f>
        <v/>
      </c>
      <c r="G11" s="4">
        <f>D11*F11</f>
        <v/>
      </c>
      <c r="H11" s="2" t="n">
        <v>1</v>
      </c>
      <c r="I11" s="5" t="inlineStr">
        <is>
          <t>Abrir Produto</t>
        </is>
      </c>
    </row>
    <row r="12" ht="20" customHeight="1">
      <c r="A12" s="2" t="n">
        <v>11</v>
      </c>
      <c r="B12" s="3" t="inlineStr">
        <is>
          <t>Módulo WS2812 LED RGB (Barra 8 LEDs)</t>
        </is>
      </c>
      <c r="C12" s="2" t="inlineStr">
        <is>
          <t>RoboCore</t>
        </is>
      </c>
      <c r="D12" s="2" t="n">
        <v>1</v>
      </c>
      <c r="E12" s="4" t="n">
        <v>9.9</v>
      </c>
      <c r="F12" s="4">
        <f>IF(OR(C12="RoboCore", C12="Robo Core"), ROUND(E12*0.95, 2), E12)</f>
        <v/>
      </c>
      <c r="G12" s="4">
        <f>D12*F12</f>
        <v/>
      </c>
      <c r="H12" s="2" t="n">
        <v>1</v>
      </c>
      <c r="I12" s="5" t="inlineStr">
        <is>
          <t>Abrir Produto</t>
        </is>
      </c>
    </row>
    <row r="13" ht="20" customHeight="1">
      <c r="A13" s="2" t="n">
        <v>12</v>
      </c>
      <c r="B13" s="3" t="inlineStr">
        <is>
          <t>Chave Gangorra KCD1-101 2T</t>
        </is>
      </c>
      <c r="C13" s="2" t="inlineStr">
        <is>
          <t>RoboCore</t>
        </is>
      </c>
      <c r="D13" s="2" t="n">
        <v>1</v>
      </c>
      <c r="E13" s="4" t="n">
        <v>1.5</v>
      </c>
      <c r="F13" s="4">
        <f>IF(OR(C13="RoboCore", C13="Robo Core"), ROUND(E13*0.95, 2), E13)</f>
        <v/>
      </c>
      <c r="G13" s="4">
        <f>D13*F13</f>
        <v/>
      </c>
      <c r="H13" s="2" t="n">
        <v>0</v>
      </c>
      <c r="I13" s="5" t="inlineStr">
        <is>
          <t>Abrir Produto</t>
        </is>
      </c>
    </row>
    <row r="14" ht="20" customHeight="1">
      <c r="A14" s="2" t="n">
        <v>13</v>
      </c>
      <c r="B14" s="3" t="inlineStr">
        <is>
          <t>Jumpers Fêmea-Fêmea x40 Unidades</t>
        </is>
      </c>
      <c r="C14" s="2" t="inlineStr">
        <is>
          <t>RoboCore</t>
        </is>
      </c>
      <c r="D14" s="2" t="n">
        <v>1</v>
      </c>
      <c r="E14" s="4" t="n">
        <v>6.9</v>
      </c>
      <c r="F14" s="4">
        <f>IF(OR(C14="RoboCore", C14="Robo Core"), ROUND(E14*0.95, 2), E14)</f>
        <v/>
      </c>
      <c r="G14" s="4">
        <f>D14*F14</f>
        <v/>
      </c>
      <c r="H14" s="2" t="n">
        <v>0</v>
      </c>
      <c r="I14" s="5" t="inlineStr">
        <is>
          <t>Abrir Produto</t>
        </is>
      </c>
    </row>
    <row r="15" ht="20" customHeight="1">
      <c r="A15" s="2" t="n">
        <v>14</v>
      </c>
      <c r="B15" s="3" t="inlineStr">
        <is>
          <t>Jumpers Macho-Macho x40 Cabos</t>
        </is>
      </c>
      <c r="C15" s="2" t="inlineStr">
        <is>
          <t>RoboCore</t>
        </is>
      </c>
      <c r="D15" s="2" t="n">
        <v>1</v>
      </c>
      <c r="E15" s="4" t="n">
        <v>7.9</v>
      </c>
      <c r="F15" s="4">
        <f>IF(OR(C15="RoboCore", C15="Robo Core"), ROUND(E15*0.95, 2), E15)</f>
        <v/>
      </c>
      <c r="G15" s="4">
        <f>D15*F15</f>
        <v/>
      </c>
      <c r="H15" s="2" t="n">
        <v>0</v>
      </c>
      <c r="I15" s="5" t="inlineStr">
        <is>
          <t>Abrir Produto</t>
        </is>
      </c>
    </row>
    <row r="16" ht="20" customHeight="1">
      <c r="A16" s="2" t="n">
        <v>15</v>
      </c>
      <c r="B16" s="3" t="inlineStr">
        <is>
          <t>Placa Nano V3 + Cabo USB</t>
        </is>
      </c>
      <c r="C16" s="2" t="inlineStr">
        <is>
          <t>RoboCore</t>
        </is>
      </c>
      <c r="D16" s="2" t="n">
        <v>1</v>
      </c>
      <c r="E16" s="4" t="n">
        <v>28.9</v>
      </c>
      <c r="F16" s="4">
        <f>IF(OR(C16="RoboCore", C16="Robo Core"), ROUND(E16*0.95, 2), E16)</f>
        <v/>
      </c>
      <c r="G16" s="4">
        <f>D16*F16</f>
        <v/>
      </c>
      <c r="H16" s="2" t="n">
        <v>0</v>
      </c>
      <c r="I16" s="5" t="inlineStr">
        <is>
          <t>Abrir Produto</t>
        </is>
      </c>
    </row>
    <row r="17" ht="20" customHeight="1">
      <c r="A17" s="2" t="n">
        <v>16</v>
      </c>
      <c r="B17" s="3" t="inlineStr">
        <is>
          <t>Placa ESP32-S3 CAM N16R8 + Câmera OV5640 5MP</t>
        </is>
      </c>
      <c r="C17" s="2" t="inlineStr">
        <is>
          <t>Mercado Livre</t>
        </is>
      </c>
      <c r="D17" s="2" t="n">
        <v>1</v>
      </c>
      <c r="E17" s="4" t="n">
        <v>119</v>
      </c>
      <c r="F17" s="4">
        <f>IF(OR(C17="RoboCore", C17="Robo Core"), ROUND(E17*0.95, 2), E17)</f>
        <v/>
      </c>
      <c r="G17" s="4">
        <f>D17*F17</f>
        <v/>
      </c>
      <c r="H17" s="2" t="n">
        <v>0</v>
      </c>
      <c r="I17" s="5" t="inlineStr">
        <is>
          <t>Abrir Produto</t>
        </is>
      </c>
    </row>
    <row r="18" ht="20" customHeight="1">
      <c r="A18" s="2" t="n">
        <v>17</v>
      </c>
      <c r="B18" s="3" t="inlineStr">
        <is>
          <t>Cartão MicroSD 32GB Sandisk Ultra A1</t>
        </is>
      </c>
      <c r="C18" s="2" t="inlineStr">
        <is>
          <t>Mercado Livre</t>
        </is>
      </c>
      <c r="D18" s="2" t="n">
        <v>1</v>
      </c>
      <c r="E18" s="4" t="n">
        <v>49.9</v>
      </c>
      <c r="F18" s="4">
        <f>IF(OR(C18="RoboCore", C18="Robo Core"), ROUND(E18*0.95, 2), E18)</f>
        <v/>
      </c>
      <c r="G18" s="4">
        <f>D18*F18</f>
        <v/>
      </c>
      <c r="H18" s="2" t="n">
        <v>0</v>
      </c>
      <c r="I18" s="5" t="inlineStr">
        <is>
          <t>Abrir Produto</t>
        </is>
      </c>
    </row>
    <row r="19" ht="20" customHeight="1">
      <c r="A19" s="2" t="n">
        <v>18</v>
      </c>
      <c r="B19" s="3" t="inlineStr">
        <is>
          <t>Módulo Giroscópio MPU-6050 GY-521 (VR)</t>
        </is>
      </c>
      <c r="C19" s="2" t="inlineStr">
        <is>
          <t>Mercado Livre</t>
        </is>
      </c>
      <c r="D19" s="2" t="n">
        <v>1</v>
      </c>
      <c r="E19" s="4" t="n">
        <v>19.9</v>
      </c>
      <c r="F19" s="4">
        <f>IF(OR(C19="RoboCore", C19="Robo Core"), ROUND(E19*0.95, 2), E19)</f>
        <v/>
      </c>
      <c r="G19" s="4">
        <f>D19*F19</f>
        <v/>
      </c>
      <c r="H19" s="2" t="n">
        <v>1</v>
      </c>
      <c r="I19" s="5" t="inlineStr">
        <is>
          <t>Abrir Produto</t>
        </is>
      </c>
    </row>
    <row r="20" ht="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24" customHeight="1">
      <c r="A21" s="7" t="n"/>
      <c r="B21" s="7" t="inlineStr">
        <is>
          <t>Total Essencial (sem opcionais) - à vista no PIX</t>
        </is>
      </c>
      <c r="C21" s="7" t="n"/>
      <c r="D21" s="7" t="n"/>
      <c r="E21" s="7" t="n"/>
      <c r="F21" s="7" t="n"/>
      <c r="G21" s="8">
        <f>SUMIF(H$2:H$19, 0, G$2:G$19)</f>
        <v/>
      </c>
      <c r="H21" s="7" t="n"/>
      <c r="I21" s="7" t="n"/>
    </row>
    <row r="22" ht="24" customHeight="1">
      <c r="A22" s="9" t="n"/>
      <c r="B22" s="9" t="inlineStr">
        <is>
          <t>TOTAL GERAL (com opcionais) - à vista no PIX</t>
        </is>
      </c>
      <c r="C22" s="9" t="n"/>
      <c r="D22" s="9" t="n"/>
      <c r="E22" s="9" t="n"/>
      <c r="F22" s="9" t="n"/>
      <c r="G22" s="10">
        <f>SUM(G$2:G$19)</f>
        <v/>
      </c>
      <c r="H22" s="9" t="n"/>
      <c r="I22" s="9" t="n"/>
    </row>
  </sheetData>
  <conditionalFormatting sqref="A2:I19">
    <cfRule type="expression" priority="1" dxfId="0">
      <formula>$H2=1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56" customWidth="1" min="2" max="2"/>
    <col width="16" customWidth="1" min="3" max="3"/>
    <col width="7" customWidth="1" min="4" max="4"/>
    <col width="20" customWidth="1" min="5" max="5"/>
    <col width="24" customWidth="1" min="6" max="6"/>
    <col width="20" customWidth="1" min="7" max="7"/>
    <col width="14" customWidth="1" min="8" max="8"/>
    <col width="16" customWidth="1" min="9" max="9"/>
  </cols>
  <sheetData>
    <row r="1" ht="26" customHeight="1">
      <c r="A1" s="1" t="inlineStr">
        <is>
          <t>Item</t>
        </is>
      </c>
      <c r="B1" s="1" t="inlineStr">
        <is>
          <t>Produto</t>
        </is>
      </c>
      <c r="C1" s="1" t="inlineStr">
        <is>
          <t>Loja</t>
        </is>
      </c>
      <c r="D1" s="1" t="inlineStr">
        <is>
          <t>Qtd</t>
        </is>
      </c>
      <c r="E1" s="1" t="inlineStr">
        <is>
          <t>Preço Unitário (R$)</t>
        </is>
      </c>
      <c r="F1" s="1" t="inlineStr">
        <is>
          <t>Preço à Vista PIX (R$)</t>
        </is>
      </c>
      <c r="G1" s="1" t="inlineStr">
        <is>
          <t>Subtotal à Vista (R$)</t>
        </is>
      </c>
      <c r="H1" s="1" t="inlineStr">
        <is>
          <t>Opcional (0/1)</t>
        </is>
      </c>
      <c r="I1" s="1" t="inlineStr">
        <is>
          <t>Link Direto</t>
        </is>
      </c>
    </row>
    <row r="2" ht="20" customHeight="1">
      <c r="A2" s="2" t="n">
        <v>1</v>
      </c>
      <c r="B2" s="3" t="inlineStr">
        <is>
          <t>Micro Servo 9g SG90 (TowerPro)</t>
        </is>
      </c>
      <c r="C2" s="2" t="inlineStr">
        <is>
          <t>RoboCore</t>
        </is>
      </c>
      <c r="D2" s="2" t="n">
        <v>2</v>
      </c>
      <c r="E2" s="4" t="n">
        <v>13.67</v>
      </c>
      <c r="F2" s="4">
        <f>IF(OR(C2="RoboCore", C2="Robo Core"), ROUND(E2*0.95, 2), E2)</f>
        <v/>
      </c>
      <c r="G2" s="4">
        <f>D2*F2</f>
        <v/>
      </c>
      <c r="H2" s="2" t="n">
        <v>0</v>
      </c>
      <c r="I2" s="5" t="inlineStr">
        <is>
          <t>Abrir Produto</t>
        </is>
      </c>
    </row>
    <row r="3" ht="20" customHeight="1">
      <c r="A3" s="2" t="n">
        <v>2</v>
      </c>
      <c r="B3" s="3" t="inlineStr">
        <is>
          <t>Câmera para Raspberry Pi Rev 1.3 (5MP)</t>
        </is>
      </c>
      <c r="C3" s="2" t="inlineStr">
        <is>
          <t>RoboCore</t>
        </is>
      </c>
      <c r="D3" s="2" t="n">
        <v>1</v>
      </c>
      <c r="E3" s="4" t="n">
        <v>49.9</v>
      </c>
      <c r="F3" s="4">
        <f>IF(OR(C3="RoboCore", C3="Robo Core"), ROUND(E3*0.95, 2), E3)</f>
        <v/>
      </c>
      <c r="G3" s="4">
        <f>D3*F3</f>
        <v/>
      </c>
      <c r="H3" s="2" t="n">
        <v>0</v>
      </c>
      <c r="I3" s="5" t="inlineStr">
        <is>
          <t>Abrir Produto</t>
        </is>
      </c>
    </row>
    <row r="4" ht="20" customHeight="1">
      <c r="A4" s="2" t="n">
        <v>3</v>
      </c>
      <c r="B4" s="3" t="inlineStr">
        <is>
          <t>Suporte Pan/Tilt para Câmera Raspberry Pi</t>
        </is>
      </c>
      <c r="C4" s="2" t="inlineStr">
        <is>
          <t>RoboCore</t>
        </is>
      </c>
      <c r="D4" s="2" t="n">
        <v>1</v>
      </c>
      <c r="E4" s="4" t="n">
        <v>6.9</v>
      </c>
      <c r="F4" s="4">
        <f>IF(OR(C4="RoboCore", C4="Robo Core"), ROUND(E4*0.95, 2), E4)</f>
        <v/>
      </c>
      <c r="G4" s="4">
        <f>D4*F4</f>
        <v/>
      </c>
      <c r="H4" s="2" t="n">
        <v>0</v>
      </c>
      <c r="I4" s="5" t="inlineStr">
        <is>
          <t>Abrir Produto</t>
        </is>
      </c>
    </row>
    <row r="5" ht="20" customHeight="1">
      <c r="A5" s="2" t="n">
        <v>4</v>
      </c>
      <c r="B5" s="3" t="inlineStr">
        <is>
          <t>Micro Motor DC 6V 100RPM Redução Metal</t>
        </is>
      </c>
      <c r="C5" s="2" t="inlineStr">
        <is>
          <t>RoboCore</t>
        </is>
      </c>
      <c r="D5" s="2" t="n">
        <v>4</v>
      </c>
      <c r="E5" s="4" t="n">
        <v>29.9</v>
      </c>
      <c r="F5" s="4">
        <f>IF(OR(C5="RoboCore", C5="Robo Core"), ROUND(E5*0.95, 2), E5)</f>
        <v/>
      </c>
      <c r="G5" s="4">
        <f>D5*F5</f>
        <v/>
      </c>
      <c r="H5" s="2" t="n">
        <v>0</v>
      </c>
      <c r="I5" s="5" t="inlineStr">
        <is>
          <t>Abrir Produto</t>
        </is>
      </c>
    </row>
    <row r="6" ht="20" customHeight="1">
      <c r="A6" s="2" t="n">
        <v>5</v>
      </c>
      <c r="B6" s="3" t="inlineStr">
        <is>
          <t>StickyMAX - Roda S20 Macia 22mm</t>
        </is>
      </c>
      <c r="C6" s="2" t="inlineStr">
        <is>
          <t>RoboCore</t>
        </is>
      </c>
      <c r="D6" s="2" t="n">
        <v>4</v>
      </c>
      <c r="E6" s="4" t="n">
        <v>39.9</v>
      </c>
      <c r="F6" s="4">
        <f>IF(OR(C6="RoboCore", C6="Robo Core"), ROUND(E6*0.95, 2), E6)</f>
        <v/>
      </c>
      <c r="G6" s="4">
        <f>D6*F6</f>
        <v/>
      </c>
      <c r="H6" s="2" t="n">
        <v>0</v>
      </c>
      <c r="I6" s="5" t="inlineStr">
        <is>
          <t>Abrir Produto</t>
        </is>
      </c>
    </row>
    <row r="7" ht="20" customHeight="1">
      <c r="A7" s="2" t="n">
        <v>6</v>
      </c>
      <c r="B7" s="3" t="inlineStr">
        <is>
          <t>Suporte para Micro Motores (Par Branco)</t>
        </is>
      </c>
      <c r="C7" s="2" t="inlineStr">
        <is>
          <t>RoboCore</t>
        </is>
      </c>
      <c r="D7" s="2" t="n">
        <v>2</v>
      </c>
      <c r="E7" s="4" t="n">
        <v>9.9</v>
      </c>
      <c r="F7" s="4">
        <f>IF(OR(C7="RoboCore", C7="Robo Core"), ROUND(E7*0.95, 2), E7)</f>
        <v/>
      </c>
      <c r="G7" s="4">
        <f>D7*F7</f>
        <v/>
      </c>
      <c r="H7" s="2" t="n">
        <v>0</v>
      </c>
      <c r="I7" s="5" t="inlineStr">
        <is>
          <t>Abrir Produto</t>
        </is>
      </c>
    </row>
    <row r="8" ht="20" customHeight="1">
      <c r="A8" s="2" t="n">
        <v>7</v>
      </c>
      <c r="B8" s="3" t="inlineStr">
        <is>
          <t>Módulo Driver Ponte H - L298N (Driver 1)</t>
        </is>
      </c>
      <c r="C8" s="2" t="inlineStr">
        <is>
          <t>RoboCore</t>
        </is>
      </c>
      <c r="D8" s="2" t="n">
        <v>1</v>
      </c>
      <c r="E8" s="4" t="n">
        <v>14.9</v>
      </c>
      <c r="F8" s="4">
        <f>IF(OR(C8="RoboCore", C8="Robo Core"), ROUND(E8*0.95, 2), E8)</f>
        <v/>
      </c>
      <c r="G8" s="4">
        <f>D8*F8</f>
        <v/>
      </c>
      <c r="H8" s="2" t="n">
        <v>0</v>
      </c>
      <c r="I8" s="5" t="inlineStr">
        <is>
          <t>Abrir Produto</t>
        </is>
      </c>
    </row>
    <row r="9" ht="20" customHeight="1">
      <c r="A9" s="2" t="n">
        <v>8</v>
      </c>
      <c r="B9" s="3" t="inlineStr">
        <is>
          <t>Módulo Driver Ponte H - L298N (Driver 2)</t>
        </is>
      </c>
      <c r="C9" s="2" t="inlineStr">
        <is>
          <t>RoboCore</t>
        </is>
      </c>
      <c r="D9" s="2" t="n">
        <v>1</v>
      </c>
      <c r="E9" s="4" t="n">
        <v>14.9</v>
      </c>
      <c r="F9" s="4">
        <f>IF(OR(C9="RoboCore", C9="Robo Core"), ROUND(E9*0.95, 2), E9)</f>
        <v/>
      </c>
      <c r="G9" s="4">
        <f>D9*F9</f>
        <v/>
      </c>
      <c r="H9" s="2" t="n">
        <v>0</v>
      </c>
      <c r="I9" s="5" t="inlineStr">
        <is>
          <t>Abrir Produto</t>
        </is>
      </c>
    </row>
    <row r="10" ht="20" customHeight="1">
      <c r="A10" s="2" t="n">
        <v>9</v>
      </c>
      <c r="B10" s="3" t="inlineStr">
        <is>
          <t>Conversor DC/DC Step Down Mini 560 5V (5A)</t>
        </is>
      </c>
      <c r="C10" s="2" t="inlineStr">
        <is>
          <t>RoboCore</t>
        </is>
      </c>
      <c r="D10" s="2" t="n">
        <v>1</v>
      </c>
      <c r="E10" s="4" t="n">
        <v>7.5</v>
      </c>
      <c r="F10" s="4">
        <f>IF(OR(C10="RoboCore", C10="Robo Core"), ROUND(E10*0.95, 2), E10)</f>
        <v/>
      </c>
      <c r="G10" s="4">
        <f>D10*F10</f>
        <v/>
      </c>
      <c r="H10" s="2" t="n">
        <v>0</v>
      </c>
      <c r="I10" s="5" t="inlineStr">
        <is>
          <t>Abrir Produto</t>
        </is>
      </c>
    </row>
    <row r="11" ht="20" customHeight="1">
      <c r="A11" s="2" t="n">
        <v>10</v>
      </c>
      <c r="B11" s="3" t="inlineStr">
        <is>
          <t>Pack Bateria Li-Ion 7,4V 2500mAh com BMS</t>
        </is>
      </c>
      <c r="C11" s="2" t="inlineStr">
        <is>
          <t>RoboCore</t>
        </is>
      </c>
      <c r="D11" s="2" t="n">
        <v>1</v>
      </c>
      <c r="E11" s="4" t="n">
        <v>69.90000000000001</v>
      </c>
      <c r="F11" s="4">
        <f>IF(OR(C11="RoboCore", C11="Robo Core"), ROUND(E11*0.95, 2), E11)</f>
        <v/>
      </c>
      <c r="G11" s="4">
        <f>D11*F11</f>
        <v/>
      </c>
      <c r="H11" s="2" t="n">
        <v>0</v>
      </c>
      <c r="I11" s="5" t="inlineStr">
        <is>
          <t>Abrir Produto</t>
        </is>
      </c>
    </row>
    <row r="12" ht="20" customHeight="1">
      <c r="A12" s="2" t="n">
        <v>11</v>
      </c>
      <c r="B12" s="3" t="inlineStr">
        <is>
          <t>Cabo JST-RCY 2 pinos Fêmea</t>
        </is>
      </c>
      <c r="C12" s="2" t="inlineStr">
        <is>
          <t>RoboCore</t>
        </is>
      </c>
      <c r="D12" s="2" t="n">
        <v>1</v>
      </c>
      <c r="E12" s="4" t="n">
        <v>1.9</v>
      </c>
      <c r="F12" s="4">
        <f>IF(OR(C12="RoboCore", C12="Robo Core"), ROUND(E12*0.95, 2), E12)</f>
        <v/>
      </c>
      <c r="G12" s="4">
        <f>D12*F12</f>
        <v/>
      </c>
      <c r="H12" s="2" t="n">
        <v>0</v>
      </c>
      <c r="I12" s="5" t="inlineStr">
        <is>
          <t>Abrir Produto</t>
        </is>
      </c>
    </row>
    <row r="13" ht="20" customHeight="1">
      <c r="A13" s="2" t="n">
        <v>12</v>
      </c>
      <c r="B13" s="3" t="inlineStr">
        <is>
          <t>Módulo Buzzer 5V Passivo</t>
        </is>
      </c>
      <c r="C13" s="2" t="inlineStr">
        <is>
          <t>RoboCore</t>
        </is>
      </c>
      <c r="D13" s="2" t="n">
        <v>1</v>
      </c>
      <c r="E13" s="4" t="n">
        <v>4.9</v>
      </c>
      <c r="F13" s="4">
        <f>IF(OR(C13="RoboCore", C13="Robo Core"), ROUND(E13*0.95, 2), E13)</f>
        <v/>
      </c>
      <c r="G13" s="4">
        <f>D13*F13</f>
        <v/>
      </c>
      <c r="H13" s="2" t="n">
        <v>1</v>
      </c>
      <c r="I13" s="5" t="inlineStr">
        <is>
          <t>Abrir Produto</t>
        </is>
      </c>
    </row>
    <row r="14" ht="20" customHeight="1">
      <c r="A14" s="2" t="n">
        <v>13</v>
      </c>
      <c r="B14" s="3" t="inlineStr">
        <is>
          <t>Módulo WS2812 LED RGB (Barra 8 LEDs)</t>
        </is>
      </c>
      <c r="C14" s="2" t="inlineStr">
        <is>
          <t>RoboCore</t>
        </is>
      </c>
      <c r="D14" s="2" t="n">
        <v>1</v>
      </c>
      <c r="E14" s="4" t="n">
        <v>9.9</v>
      </c>
      <c r="F14" s="4">
        <f>IF(OR(C14="RoboCore", C14="Robo Core"), ROUND(E14*0.95, 2), E14)</f>
        <v/>
      </c>
      <c r="G14" s="4">
        <f>D14*F14</f>
        <v/>
      </c>
      <c r="H14" s="2" t="n">
        <v>1</v>
      </c>
      <c r="I14" s="5" t="inlineStr">
        <is>
          <t>Abrir Produto</t>
        </is>
      </c>
    </row>
    <row r="15" ht="20" customHeight="1">
      <c r="A15" s="2" t="n">
        <v>14</v>
      </c>
      <c r="B15" s="3" t="inlineStr">
        <is>
          <t>Chave Gangorra KCD1-101 2T</t>
        </is>
      </c>
      <c r="C15" s="2" t="inlineStr">
        <is>
          <t>RoboCore</t>
        </is>
      </c>
      <c r="D15" s="2" t="n">
        <v>1</v>
      </c>
      <c r="E15" s="4" t="n">
        <v>1.5</v>
      </c>
      <c r="F15" s="4">
        <f>IF(OR(C15="RoboCore", C15="Robo Core"), ROUND(E15*0.95, 2), E15)</f>
        <v/>
      </c>
      <c r="G15" s="4">
        <f>D15*F15</f>
        <v/>
      </c>
      <c r="H15" s="2" t="n">
        <v>0</v>
      </c>
      <c r="I15" s="5" t="inlineStr">
        <is>
          <t>Abrir Produto</t>
        </is>
      </c>
    </row>
    <row r="16" ht="20" customHeight="1">
      <c r="A16" s="2" t="n">
        <v>15</v>
      </c>
      <c r="B16" s="3" t="inlineStr">
        <is>
          <t>Jumpers Fêmea-Fêmea x40 Unidades</t>
        </is>
      </c>
      <c r="C16" s="2" t="inlineStr">
        <is>
          <t>RoboCore</t>
        </is>
      </c>
      <c r="D16" s="2" t="n">
        <v>1</v>
      </c>
      <c r="E16" s="4" t="n">
        <v>6.9</v>
      </c>
      <c r="F16" s="4">
        <f>IF(OR(C16="RoboCore", C16="Robo Core"), ROUND(E16*0.95, 2), E16)</f>
        <v/>
      </c>
      <c r="G16" s="4">
        <f>D16*F16</f>
        <v/>
      </c>
      <c r="H16" s="2" t="n">
        <v>0</v>
      </c>
      <c r="I16" s="5" t="inlineStr">
        <is>
          <t>Abrir Produto</t>
        </is>
      </c>
    </row>
    <row r="17" ht="20" customHeight="1">
      <c r="A17" s="2" t="n">
        <v>16</v>
      </c>
      <c r="B17" s="3" t="inlineStr">
        <is>
          <t>Jumpers Macho-Macho x40 Cabos</t>
        </is>
      </c>
      <c r="C17" s="2" t="inlineStr">
        <is>
          <t>RoboCore</t>
        </is>
      </c>
      <c r="D17" s="2" t="n">
        <v>1</v>
      </c>
      <c r="E17" s="4" t="n">
        <v>7.9</v>
      </c>
      <c r="F17" s="4">
        <f>IF(OR(C17="RoboCore", C17="Robo Core"), ROUND(E17*0.95, 2), E17)</f>
        <v/>
      </c>
      <c r="G17" s="4">
        <f>D17*F17</f>
        <v/>
      </c>
      <c r="H17" s="2" t="n">
        <v>0</v>
      </c>
      <c r="I17" s="5" t="inlineStr">
        <is>
          <t>Abrir Produto</t>
        </is>
      </c>
    </row>
    <row r="18" ht="20" customHeight="1">
      <c r="A18" s="2" t="n">
        <v>17</v>
      </c>
      <c r="B18" s="3" t="inlineStr">
        <is>
          <t>Placa Nano V3 + Cabo USB</t>
        </is>
      </c>
      <c r="C18" s="2" t="inlineStr">
        <is>
          <t>RoboCore</t>
        </is>
      </c>
      <c r="D18" s="2" t="n">
        <v>1</v>
      </c>
      <c r="E18" s="4" t="n">
        <v>28.9</v>
      </c>
      <c r="F18" s="4">
        <f>IF(OR(C18="RoboCore", C18="Robo Core"), ROUND(E18*0.95, 2), E18)</f>
        <v/>
      </c>
      <c r="G18" s="4">
        <f>D18*F18</f>
        <v/>
      </c>
      <c r="H18" s="2" t="n">
        <v>0</v>
      </c>
      <c r="I18" s="5" t="inlineStr">
        <is>
          <t>Abrir Produto</t>
        </is>
      </c>
    </row>
    <row r="19" ht="20" customHeight="1">
      <c r="A19" s="2" t="n">
        <v>18</v>
      </c>
      <c r="B19" s="3" t="inlineStr">
        <is>
          <t>Raspberry Pi 3 Model B (se não possuir)</t>
        </is>
      </c>
      <c r="C19" s="2" t="inlineStr">
        <is>
          <t>Mercado Livre</t>
        </is>
      </c>
      <c r="D19" s="2" t="n">
        <v>1</v>
      </c>
      <c r="E19" s="4" t="n">
        <v>389</v>
      </c>
      <c r="F19" s="4">
        <f>IF(OR(C19="RoboCore", C19="Robo Core"), ROUND(E19*0.95, 2), E19)</f>
        <v/>
      </c>
      <c r="G19" s="4">
        <f>D19*F19</f>
        <v/>
      </c>
      <c r="H19" s="2" t="n">
        <v>0</v>
      </c>
      <c r="I19" s="5" t="inlineStr">
        <is>
          <t>Abrir Produto</t>
        </is>
      </c>
    </row>
    <row r="20" ht="20" customHeight="1">
      <c r="A20" s="2" t="n">
        <v>19</v>
      </c>
      <c r="B20" s="3" t="inlineStr">
        <is>
          <t>Cartão MicroSD 64GB Sandisk Ultra A1 Classe 10</t>
        </is>
      </c>
      <c r="C20" s="2" t="inlineStr">
        <is>
          <t>Mercado Livre</t>
        </is>
      </c>
      <c r="D20" s="2" t="n">
        <v>1</v>
      </c>
      <c r="E20" s="4" t="n">
        <v>69.90000000000001</v>
      </c>
      <c r="F20" s="4">
        <f>IF(OR(C20="RoboCore", C20="Robo Core"), ROUND(E20*0.95, 2), E20)</f>
        <v/>
      </c>
      <c r="G20" s="4">
        <f>D20*F20</f>
        <v/>
      </c>
      <c r="H20" s="2" t="n">
        <v>0</v>
      </c>
      <c r="I20" s="5" t="inlineStr">
        <is>
          <t>Abrir Produto</t>
        </is>
      </c>
    </row>
    <row r="21" ht="20" customHeight="1">
      <c r="A21" s="2" t="n">
        <v>20</v>
      </c>
      <c r="B21" s="3" t="inlineStr">
        <is>
          <t>Módulo Giroscópio MPU-6050 GY-521 (VR)</t>
        </is>
      </c>
      <c r="C21" s="2" t="inlineStr">
        <is>
          <t>Mercado Livre</t>
        </is>
      </c>
      <c r="D21" s="2" t="n">
        <v>1</v>
      </c>
      <c r="E21" s="4" t="n">
        <v>19.9</v>
      </c>
      <c r="F21" s="4">
        <f>IF(OR(C21="RoboCore", C21="Robo Core"), ROUND(E21*0.95, 2), E21)</f>
        <v/>
      </c>
      <c r="G21" s="4">
        <f>D21*F21</f>
        <v/>
      </c>
      <c r="H21" s="2" t="n">
        <v>1</v>
      </c>
      <c r="I21" s="5" t="inlineStr">
        <is>
          <t>Abrir Produto</t>
        </is>
      </c>
    </row>
    <row r="22" ht="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 ht="24" customHeight="1">
      <c r="A23" s="7" t="n"/>
      <c r="B23" s="7" t="inlineStr">
        <is>
          <t>Total Essencial (sem opcionais) - à vista no PIX</t>
        </is>
      </c>
      <c r="C23" s="7" t="n"/>
      <c r="D23" s="7" t="n"/>
      <c r="E23" s="7" t="n"/>
      <c r="F23" s="7" t="n"/>
      <c r="G23" s="8">
        <f>SUMIF(H$2:H$21, 0, G$2:G$21)</f>
        <v/>
      </c>
      <c r="H23" s="7" t="n"/>
      <c r="I23" s="7" t="n"/>
    </row>
    <row r="24" ht="24" customHeight="1">
      <c r="A24" s="9" t="n"/>
      <c r="B24" s="9" t="inlineStr">
        <is>
          <t>TOTAL GERAL (com opcionais) - à vista no PIX</t>
        </is>
      </c>
      <c r="C24" s="9" t="n"/>
      <c r="D24" s="9" t="n"/>
      <c r="E24" s="9" t="n"/>
      <c r="F24" s="9" t="n"/>
      <c r="G24" s="10">
        <f>SUM(G$2:G$21)</f>
        <v/>
      </c>
      <c r="H24" s="9" t="n"/>
      <c r="I24" s="9" t="n"/>
    </row>
  </sheetData>
  <conditionalFormatting sqref="A2:I21">
    <cfRule type="expression" priority="1" dxfId="0">
      <formula>$H2=1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2026-09-24T15:57:32Z</dcterms:created>
  <dcterms:modified xsi:type="dcterms:W3CDTF">2026-09-24T15:57:32Z</dcterms:modified>
</cp:coreProperties>
</file>