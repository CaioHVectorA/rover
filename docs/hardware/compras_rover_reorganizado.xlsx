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4b17f2cc54a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Geral" sheetId="1" r:id="Rb9a3b5634aa040e6"/>
    <x:sheet xmlns:r="http://schemas.openxmlformats.org/officeDocument/2006/relationships" name="UsinaInfo" sheetId="2" r:id="Rd86028ad2d084ee5"/>
    <x:sheet xmlns:r="http://schemas.openxmlformats.org/officeDocument/2006/relationships" name="Mercado Livre" sheetId="3" r:id="Rc5e738fa026f4dfe"/>
    <x:sheet xmlns:r="http://schemas.openxmlformats.org/officeDocument/2006/relationships" name="Curto Circuito" sheetId="4" r:id="R6b7ba4037c5f4e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R$ #,##0.00"/>
    <x:numFmt numFmtId="165" formatCode="0.0%"/>
    <x:numFmt numFmtId="200" formatCode="&quot;R$ &quot;#,##0.00"/>
    <x:numFmt numFmtId="201" formatCode="0%"/>
  </x:numFmts>
  <x:fonts count="10">
    <x:font>
      <x:sz val="11"/>
      <x:color theme="1"/>
      <x:name val="Calibri"/>
      <x:family val="2"/>
      <x:scheme val="minor"/>
    </x:font>
    <x:font>
      <x:b/>
      <x:sz val="14"/>
      <x:color rgb="FF1B365D"/>
      <x:name val="Segoe UI"/>
    </x:font>
    <x:font>
      <x:i/>
      <x:sz val="9"/>
      <x:color rgb="FF4B5563"/>
      <x:name val="Segoe UI"/>
    </x:font>
    <x:font>
      <x:b/>
      <x:sz val="8"/>
      <x:color rgb="FF4B5563"/>
      <x:name val="Segoe UI"/>
    </x:font>
    <x:font>
      <x:b/>
      <x:sz val="13"/>
      <x:color rgb="FF1B365D"/>
      <x:name val="Segoe UI"/>
    </x:font>
    <x:font>
      <x:b/>
      <x:sz val="11"/>
      <x:color rgb="FFFFFFFF"/>
      <x:name val="Segoe UI"/>
    </x:font>
    <x:font>
      <x:b/>
      <x:sz val="10"/>
      <x:color rgb="FFFFFFFF"/>
      <x:name val="Segoe UI"/>
    </x:font>
    <x:font>
      <x:sz val="10"/>
      <x:name val="Segoe UI"/>
    </x:font>
    <x:font>
      <x:b/>
      <x:sz val="10"/>
      <x:name val="Segoe UI"/>
    </x:font>
    <x:font>
      <x:u val="single"/>
      <x:sz val="10"/>
      <x:color rgb="FF1D4ED8"/>
      <x:name val="Segoe UI"/>
    </x:font>
  </x:fonts>
  <x:fills count="10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1B365D"/>
      </x:patternFill>
    </x:fill>
    <x:fill>
      <x:patternFill patternType="solid">
        <x:fgColor rgb="FFDEF7EC"/>
      </x:patternFill>
    </x:fill>
    <x:fill>
      <x:patternFill patternType="solid">
        <x:fgColor rgb="FFFEF3C7"/>
      </x:patternFill>
    </x:fill>
    <x:fill>
      <x:patternFill patternType="solid">
        <x:fgColor rgb="FFE1EFFE"/>
      </x:patternFill>
    </x:fill>
    <x:fill>
      <x:patternFill patternType="solid">
        <x:fgColor rgb="FFFFFFFF"/>
      </x:patternFill>
    </x:fill>
    <x:fill>
      <x:patternFill patternType="solid">
        <x:fgColor rgb="FFF9FAFB"/>
      </x:patternFill>
    </x:fill>
    <x:fill>
      <x:patternFill patternType="solid">
        <x:fgColor rgb="FF4B5563"/>
      </x:patternFill>
    </x:fill>
  </x:fills>
  <x:borders count="3">
    <x:border>
      <x:left/>
      <x:right/>
      <x:top/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double">
        <x:color rgb="FF1B365D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/>
    </x:xf>
    <x:xf numFmtId="164" fontId="4" fillId="2" borderId="1" xfId="0" applyAlignment="1">
      <x:alignment horizontal="center" vertical="center"/>
    </x:xf>
    <x:xf numFmtId="0" fontId="5" fillId="3" borderId="0" xfId="0" applyAlignment="1">
      <x:alignment horizontal="left"/>
    </x:xf>
    <x:xf numFmtId="0" fontId="6" fillId="3" borderId="1" xfId="0" applyAlignment="1">
      <x:alignment horizontal="center" vertical="center" wrapText="1"/>
    </x:xf>
    <x:xf numFmtId="0" fontId="7" fillId="0" borderId="1" xfId="0" applyAlignment="1">
      <x:alignment horizontal="left"/>
    </x:xf>
    <x:xf numFmtId="165" fontId="7" fillId="0" borderId="1" xfId="0" applyAlignment="1">
      <x:alignment horizontal="center"/>
    </x:xf>
    <x:xf numFmtId="164" fontId="7" fillId="0" borderId="1" xfId="0" applyAlignment="1">
      <x:alignment horizontal="right"/>
    </x:xf>
    <x:xf numFmtId="0" fontId="8" fillId="0" borderId="2" xfId="0"/>
    <x:xf numFmtId="0" fontId="0" fillId="0" borderId="2" xfId="0"/>
    <x:xf numFmtId="164" fontId="8" fillId="0" borderId="2" xfId="0" applyAlignment="1">
      <x:alignment horizontal="right"/>
    </x:xf>
    <x:xf numFmtId="0" fontId="6" fillId="3" borderId="1" xfId="0" applyAlignment="1">
      <x:alignment horizontal="center" vertical="center"/>
    </x:xf>
    <x:xf numFmtId="0" fontId="8" fillId="4" borderId="1" xfId="0" applyAlignment="1">
      <x:alignment horizontal="center"/>
    </x:xf>
    <x:xf numFmtId="0" fontId="8" fillId="5" borderId="1" xfId="0" applyAlignment="1">
      <x:alignment horizontal="center"/>
    </x:xf>
    <x:xf numFmtId="0" fontId="8" fillId="6" borderId="1" xfId="0" applyAlignment="1">
      <x:alignment horizontal="center"/>
    </x:xf>
    <x:xf numFmtId="165" fontId="8" fillId="0" borderId="2" xfId="0" applyAlignment="1">
      <x:alignment horizontal="center"/>
    </x:xf>
    <x:xf numFmtId="0" fontId="8" fillId="0" borderId="0" xfId="0"/>
    <x:xf numFmtId="165" fontId="8" fillId="4" borderId="1" xfId="0" applyAlignment="1">
      <x:alignment horizontal="center"/>
    </x:xf>
    <x:xf numFmtId="0" fontId="7" fillId="7" borderId="1" xfId="0" applyAlignment="1">
      <x:alignment horizontal="center"/>
    </x:xf>
    <x:xf numFmtId="0" fontId="7" fillId="7" borderId="1" xfId="0" applyAlignment="1">
      <x:alignment horizontal="left"/>
    </x:xf>
    <x:xf numFmtId="164" fontId="7" fillId="7" borderId="1" xfId="0" applyAlignment="1">
      <x:alignment horizontal="right"/>
    </x:xf>
    <x:xf numFmtId="0" fontId="9" fillId="7" borderId="1" xfId="0" applyAlignment="1">
      <x:alignment horizontal="center"/>
    </x:xf>
    <x:xf numFmtId="0" fontId="7" fillId="4" borderId="1" xfId="0" applyAlignment="1">
      <x:alignment horizontal="center"/>
    </x:xf>
    <x:xf numFmtId="0" fontId="7" fillId="8" borderId="1" xfId="0" applyAlignment="1">
      <x:alignment horizontal="center"/>
    </x:xf>
    <x:xf numFmtId="0" fontId="7" fillId="8" borderId="1" xfId="0" applyAlignment="1">
      <x:alignment horizontal="left"/>
    </x:xf>
    <x:xf numFmtId="164" fontId="7" fillId="8" borderId="1" xfId="0" applyAlignment="1">
      <x:alignment horizontal="right"/>
    </x:xf>
    <x:xf numFmtId="0" fontId="9" fillId="8" borderId="1" xfId="0" applyAlignment="1">
      <x:alignment horizontal="center"/>
    </x:xf>
    <x:xf numFmtId="0" fontId="7" fillId="5" borderId="1" xfId="0" applyAlignment="1">
      <x:alignment horizontal="center"/>
    </x:xf>
    <x:xf numFmtId="0" fontId="7" fillId="6" borderId="1" xfId="0" applyAlignment="1">
      <x:alignment horizontal="center"/>
    </x:xf>
    <x:xf numFmtId="0" fontId="0" fillId="0" borderId="1" xfId="0"/>
    <x:xf numFmtId="0" fontId="8" fillId="0" borderId="1" xfId="0"/>
    <x:xf numFmtId="164" fontId="8" fillId="0" borderId="1" xfId="0" applyAlignment="1">
      <x:alignment horizontal="right"/>
    </x:xf>
    <x:xf numFmtId="165" fontId="6" fillId="9" borderId="1" xfId="0" applyAlignment="1">
      <x:alignment horizontal="center"/>
    </x:xf>
    <x:xf numFmtId="0" fontId="9" fillId="0" borderId="0" xfId="0"/>
    <x:xf numFmtId="0" fontId="7" fillId="7" borderId="1" xfId="0" applyNumberFormat="1" applyFont="1" applyFill="1" applyBorder="1" applyAlignment="1">
      <x:alignment horizontal="left" wrapText="1"/>
    </x:xf>
    <x:xf numFmtId="0" fontId="7" fillId="8" borderId="1" xfId="0" applyNumberFormat="1" applyFont="1" applyFill="1" applyBorder="1" applyAlignment="1">
      <x:alignment horizontal="left" wrapText="1"/>
    </x:xf>
    <x:xf numFmtId="0" fontId="7" fillId="7" borderId="1" xfId="0" applyNumberFormat="1" applyFont="1" applyFill="1" applyBorder="1" applyAlignment="1">
      <x:alignment horizontal="center" vertical="center"/>
    </x:xf>
    <x:xf numFmtId="0" fontId="7" fillId="7" borderId="1" xfId="0" applyNumberFormat="1" applyFont="1" applyFill="1" applyBorder="1" applyAlignment="1">
      <x:alignment horizontal="left" vertical="center"/>
    </x:xf>
    <x:xf numFmtId="164" fontId="7" fillId="7" borderId="1" xfId="0" applyNumberFormat="1" applyFont="1" applyFill="1" applyBorder="1" applyAlignment="1">
      <x:alignment horizontal="right" vertical="center"/>
    </x:xf>
    <x:xf numFmtId="0" fontId="9" fillId="7" borderId="1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7" borderId="1" xfId="0" applyNumberFormat="1" applyFont="1" applyFill="1" applyBorder="1" applyAlignment="1">
      <x:alignment horizontal="left" vertical="center" wrapText="1"/>
    </x:xf>
    <x:xf numFmtId="0" fontId="7" fillId="8" borderId="1" xfId="0" applyNumberFormat="1" applyFont="1" applyFill="1" applyBorder="1" applyAlignment="1">
      <x:alignment horizontal="center" vertical="center"/>
    </x:xf>
    <x:xf numFmtId="0" fontId="7" fillId="8" borderId="1" xfId="0" applyNumberFormat="1" applyFont="1" applyFill="1" applyBorder="1" applyAlignment="1">
      <x:alignment horizontal="left" vertical="center"/>
    </x:xf>
    <x:xf numFmtId="164" fontId="7" fillId="8" borderId="1" xfId="0" applyNumberFormat="1" applyFont="1" applyFill="1" applyBorder="1" applyAlignment="1">
      <x:alignment horizontal="right" vertical="center"/>
    </x:xf>
    <x:xf numFmtId="0" fontId="9" fillId="8" borderId="1" xfId="0" applyNumberFormat="1" applyFont="1" applyFill="1" applyBorder="1" applyAlignment="1">
      <x:alignment horizontal="center" vertical="center"/>
    </x:xf>
    <x:xf numFmtId="0" fontId="7" fillId="8" borderId="1" xfId="0" applyNumberFormat="1" applyFont="1" applyFill="1" applyBorder="1" applyAlignment="1">
      <x:alignment horizontal="left" vertical="center" wrapText="1"/>
    </x:xf>
    <x:xf numFmtId="0" fontId="7" fillId="5" borderId="1" xfId="0" applyNumberFormat="1" applyFont="1" applyFill="1" applyBorder="1" applyAlignment="1">
      <x:alignment horizontal="center" vertic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horizontal="center" wrapText="1"/>
    </x:xf>
    <x:xf numFmtId="0" fontId="7" fillId="8" borderId="1" xfId="0" applyNumberFormat="1" applyFont="1" applyFill="1" applyBorder="1" applyAlignment="1">
      <x:alignment horizontal="center" wrapText="1"/>
    </x:xf>
    <x:xf numFmtId="0" fontId="7" fillId="0" borderId="1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200" fontId="4" fillId="2" borderId="1" xfId="0" applyNumberFormat="1" applyFont="1" applyFill="1" applyBorder="1" applyAlignment="1">
      <x:alignment horizontal="center" vertical="center"/>
    </x:xf>
    <x:xf numFmtId="200" fontId="7" fillId="0" borderId="1" xfId="0" applyNumberFormat="1" applyFont="1" applyFill="1" applyBorder="1" applyAlignment="1">
      <x:alignment horizontal="right"/>
    </x:xf>
    <x:xf numFmtId="200" fontId="8" fillId="0" borderId="2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/>
    <x:xf numFmtId="165" fontId="7" fillId="0" borderId="1" xfId="0" applyNumberFormat="1" applyFont="1" applyFill="1" applyBorder="1" applyAlignment="1">
      <x:alignment horizontal="center"/>
    </x:xf>
    <x:xf numFmtId="165" fontId="8" fillId="0" borderId="2" xfId="0" applyNumberFormat="1" applyFont="1" applyFill="1" applyBorder="1" applyAlignment="1">
      <x:alignment horizontal="center"/>
    </x:xf>
    <x:xf numFmtId="200" fontId="7" fillId="7" borderId="1" xfId="0" applyNumberFormat="1" applyFont="1" applyFill="1" applyBorder="1" applyAlignment="1">
      <x:alignment horizontal="right" vertical="center"/>
    </x:xf>
    <x:xf numFmtId="200" fontId="7" fillId="8" borderId="1" xfId="0" applyNumberFormat="1" applyFont="1" applyFill="1" applyBorder="1" applyAlignment="1">
      <x:alignment horizontal="right" vertical="center"/>
    </x:xf>
    <x:xf numFmtId="200" fontId="0" fillId="0" borderId="2" xfId="0" applyNumberFormat="1" applyFont="1" applyFill="1" applyBorder="1"/>
    <x:xf numFmtId="200" fontId="0" fillId="0" borderId="1" xfId="0" applyNumberFormat="1" applyFont="1" applyFill="1" applyBorder="1"/>
    <x:xf numFmtId="200" fontId="8" fillId="0" borderId="1" xfId="0" applyNumberFormat="1" applyFont="1" applyFill="1" applyBorder="1" applyAlignment="1">
      <x:alignment horizontal="right"/>
    </x:xf>
    <x:xf numFmtId="201" fontId="8" fillId="4" borderId="1" xfId="0" applyNumberFormat="1" applyFont="1" applyFill="1" applyBorder="1" applyAlignment="1">
      <x:alignment horizontal="center"/>
    </x:xf>
    <x:xf numFmtId="201" fontId="6" fillId="9" borderId="1" xfId="0" applyNumberFormat="1" applyFont="1" applyFill="1" applyBorder="1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228f8eed144d1" /><Relationship Type="http://schemas.openxmlformats.org/officeDocument/2006/relationships/theme" Target="/xl/theme/theme1.xml" Id="R44d1e01d833a43dd" /><Relationship Type="http://schemas.openxmlformats.org/officeDocument/2006/relationships/sharedStrings" Target="/xl/sharedStrings.xml" Id="R94cdc931f8ca4e16" /><Relationship Type="http://schemas.openxmlformats.org/officeDocument/2006/relationships/worksheet" Target="/xl/worksheets/sheet1.xml" Id="Rb9a3b5634aa040e6" /><Relationship Type="http://schemas.openxmlformats.org/officeDocument/2006/relationships/worksheet" Target="/xl/worksheets/sheet2.xml" Id="Rd86028ad2d084ee5" /><Relationship Type="http://schemas.openxmlformats.org/officeDocument/2006/relationships/worksheet" Target="/xl/worksheets/sheet3.xml" Id="Rc5e738fa026f4dfe" /><Relationship Type="http://schemas.openxmlformats.org/officeDocument/2006/relationships/worksheet" Target="/xl/worksheets/sheet4.xml" Id="R6b7ba4037c5f4e5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?xml version='1.0' encoding='utf-8'?>
<ns0:Relationships xmlns:ns0="http://schemas.openxmlformats.org/package/2006/relationships"><ns0:Relationship Id="auditLink1" Type="http://schemas.openxmlformats.org/officeDocument/2006/relationships/hyperlink" Target="https://www.usinainfo.com.br/coolers-para-pc/mini-cooler-5v-25x25mm-para-esc-e-projetos-4408.html" TargetMode="External" /><ns0:Relationship Id="auditLink2" Type="http://schemas.openxmlformats.org/officeDocument/2006/relationships/hyperlink" Target="https://www.usinainfo.com.br/sensor-de-temperatura/ds18b20-sensor-de-temperatura-digital-2806.html" TargetMode="External" /><ns0:Relationship Id="auditLink3" Type="http://schemas.openxmlformats.org/officeDocument/2006/relationships/hyperlink" Target="https://www.usinainfo.com.br/acessorios-raspberry-pi/kit-dissipador-de-calor-autoadesivo-raspberry-pi-3-pi-2-b-e-b-em-aluminio-3-unidades-4428.html" TargetMode="External" /><ns0:Relationship Id="auditLink4" Type="http://schemas.openxmlformats.org/officeDocument/2006/relationships/hyperlink" Target="https://www.usinainfo.com.br/sensor-de-tensao/sensor-de-tensao-dc-0-25v-3425.html" TargetMode="External" /><ns0:Relationship Id="auditLink5" Type="http://schemas.openxmlformats.org/officeDocument/2006/relationships/hyperlink" Target="https://www.usinainfo.com.br/transmissores-e-receptores/antena-esp8266-24ghz-3dbi-esp8266-external-antenna-cabo-pigtail-uflipx1-2mm-com-conector-sma-femea-5259.html" TargetMode="External" /><ns0:Relationship Id="auditLink6" Type="http://schemas.openxmlformats.org/officeDocument/2006/relationships/hyperlink" Target="https://www.usinainfo.com.br/display-arduino/display-oled-096-i2c-128x64-branco-5366.html" TargetMode="External" /><ns0:Relationship Id="auditLink7" Type="http://schemas.openxmlformats.org/officeDocument/2006/relationships/hyperlink" Target="https://www.usinainfo.com.br/display-arduino/display-tft-lcd-13-spi-rgb-240x240-st7789-5607.html" TargetMode="External" /><ns0:Relationship Id="auditLink8" Type="http://schemas.openxmlformats.org/officeDocument/2006/relationships/hyperlink" Target="https://www.usinainfo.com.br/joystick-e-controles-ir/joystick-ky023-3-eixos-2305.html" TargetMode="External" /></ns0:Relationships>
</file>

<file path=xl/worksheets/_rels/sheet3.xml.rels><?xml version='1.0' encoding='utf-8'?>
<ns0:Relationships xmlns:ns0="http://schemas.openxmlformats.org/package/2006/relationships"><ns0:Relationship Id="auditLink1" Type="http://schemas.openxmlformats.org/officeDocument/2006/relationships/hyperlink" Target="https://www.mercadolivre.com.br/cartao-de-memoria-sandisk-sdsqunr-032g-gn3ma-ultra-com-adaptador-sd-32gb/p/MLB14736452" TargetMode="External" /><ns0:Relationship Id="auditLink2" Type="http://schemas.openxmlformats.org/officeDocument/2006/relationships/hyperlink" Target="https://www.mercadolivre.com.br/kit-10-unidades-de-led-avulso-3w--moeda-estrela-branco-6000k/up/MLBU3658842164" TargetMode="External" /><ns0:Relationship Id="auditLink3" Type="http://schemas.openxmlformats.org/officeDocument/2006/relationships/hyperlink" Target="https://www.mercadolivre.com.br/receiver-dtxmx-flysky-fs-ia6b-24g-6-channels-for-fs-i6/p/MLB2071280071" TargetMode="External" /></ns0:Relationships>
</file>

<file path=xl/worksheets/_rels/sheet4.xml.rels><?xml version='1.0' encoding='utf-8'?>
<ns0:Relationships xmlns:ns0="http://schemas.openxmlformats.org/package/2006/relationships"><ns0:Relationship Id="auditLink1" Type="http://schemas.openxmlformats.org/officeDocument/2006/relationships/hyperlink" Target="https://curtocircuito.com.br/modulo-a7608sa-h-4g-lte-antena-fcp.html" TargetMode="External" /><ns0:Relationship Id="auditLink2" Type="http://schemas.openxmlformats.org/officeDocument/2006/relationships/hyperlink" Target="https://www.mercadolivre.com.br/modulo-gsm-a7608sah-4g-lte-com-antena-fcp/up/MLBU2311204429" TargetMode="External" /></ns0: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3" customWidth="1"/>
    <x:col min="2" max="2" width="24" customWidth="1"/>
    <x:col min="3" max="3" width="40" customWidth="1"/>
    <x:col min="4" max="4" width="20" customWidth="1"/>
    <x:col min="5" max="5" width="20" customWidth="1"/>
    <x:col min="6" max="6" width="20" customWidth="1"/>
    <x:col min="7" max="7" width="18" customWidth="1"/>
  </x:cols>
  <x:sheetData>
    <x:row r="2">
      <x:c r="B2" s="1" t="inlineStr">
        <x:is>
          <x:t xml:space="preserve">ROVER ESP32-S3 4WD — PLANEJAMENTO CONSOLIDADO DE COMPRAS</x:t>
        </x:is>
      </x:c>
    </x:row>
    <x:row r="3">
      <x:c r="B3" s="2" t="str">
        <x:v>Revisado em 13/10/2026. Totais incluem estimativas do ML; compra ainda tem pendências.</x:v>
      </x:c>
    </x:row>
    <x:row r="5">
      <x:c r="B5" s="3" t="str">
        <x:v>TOTAL COM ESTIMATIVAS</x:v>
      </x:c>
      <x:c r="D5" s="3" t="str">
        <x:v>À VISTA COM ESTIMATIVAS</x:v>
      </x:c>
      <x:c r="F5" s="3" t="inlineStr">
        <x:is>
          <x:t xml:space="preserve">ECONOMIA TOTAL À VISTA</x:t>
        </x:is>
      </x:c>
    </x:row>
    <x:row r="6">
      <x:c r="B6" s="57" t="n">
        <x:f>'UsinaInfo'!F18+'Mercado Livre'!F13+'Curto Circuito'!F10</x:f>
        <x:v>741.6</x:v>
      </x:c>
      <x:c r="D6" s="57" t="n">
        <x:f>'UsinaInfo'!G18+'Mercado Livre'!G13+'Curto Circuito'!G10</x:f>
        <x:v>689.8699999999999</x:v>
      </x:c>
      <x:c r="F6" s="57" t="n">
        <x:f>B6-D6</x:f>
        <x:v>51.73000000000013</x:v>
      </x:c>
    </x:row>
    <x:row r="9">
      <x:c r="B9" s="5" t="inlineStr">
        <x:is>
          <x:t xml:space="preserve">CONSOLIDAÇÃO POR FORNECEDOR / LOJA</x:t>
        </x:is>
      </x:c>
    </x:row>
    <x:row r="10">
      <x:c r="B10" s="6" t="inlineStr">
        <x:is>
          <x:t xml:space="preserve">Loja / Plataforma</x:t>
        </x:is>
      </x:c>
      <x:c r="C10" s="6" t="inlineStr">
        <x:is>
          <x:t xml:space="preserve">Escopo dos Componentes</x:t>
        </x:is>
      </x:c>
      <x:c r="D10" s="6" t="inlineStr">
        <x:is>
          <x:t xml:space="preserve">Desconto À Vista</x:t>
        </x:is>
      </x:c>
      <x:c r="E10" s="6" t="inlineStr">
        <x:is>
          <x:t xml:space="preserve">Subtotal Cartão</x:t>
        </x:is>
      </x:c>
      <x:c r="F10" s="6" t="inlineStr">
        <x:is>
          <x:t xml:space="preserve">Subtotal Pix/Boleto</x:t>
        </x:is>
      </x:c>
      <x:c r="G10" s="6" t="inlineStr">
        <x:is>
          <x:t xml:space="preserve">Economia</x:t>
        </x:is>
      </x:c>
    </x:row>
    <x:row r="11" ht="42" customHeight="1">
      <x:c r="B11" s="7" t="inlineStr">
        <x:is>
          <x:t xml:space="preserve">UsinaInfo</x:t>
        </x:is>
      </x:c>
      <x:c r="C11" s="55" t="inlineStr">
        <x:is>
          <x:t xml:space="preserve">Bancada térmica, telemetria, antena 3dBi, display e controle</x:t>
        </x:is>
      </x:c>
      <x:c r="D11" s="8" t="n">
        <x:f>'UsinaInfo'!D5</x:f>
        <x:v>0.05</x:v>
      </x:c>
      <x:c r="E11" s="58" t="n">
        <x:f>'UsinaInfo'!F18</x:f>
        <x:v>138.9</x:v>
      </x:c>
      <x:c r="F11" s="58" t="n">
        <x:f>'UsinaInfo'!G18</x:f>
        <x:v>131.97</x:v>
      </x:c>
      <x:c r="G11" s="58" t="n">
        <x:f>E11-F11</x:f>
        <x:v>6.930000000000007</x:v>
      </x:c>
    </x:row>
    <x:row r="12" ht="42" customHeight="1">
      <x:c r="B12" s="7" t="inlineStr">
        <x:is>
          <x:t xml:space="preserve">Mercado Livre</x:t>
        </x:is>
      </x:c>
      <x:c r="C12" s="55" t="str">
        <x:v>microSD, LEDs e receptor: recotar Full; valores estimados</x:v>
      </x:c>
      <x:c r="D12" s="8" t="n">
        <x:f>'Mercado Livre'!D5</x:f>
        <x:v>0</x:v>
      </x:c>
      <x:c r="E12" s="58" t="n">
        <x:f>'Mercado Livre'!F13</x:f>
        <x:v>154.7</x:v>
      </x:c>
      <x:c r="F12" s="58" t="n">
        <x:f>'Mercado Livre'!G13</x:f>
        <x:v>154.7</x:v>
      </x:c>
      <x:c r="G12" s="58" t="n">
        <x:f>E12-F12</x:f>
        <x:v>0</x:v>
      </x:c>
    </x:row>
    <x:row r="13" ht="42" customHeight="1">
      <x:c r="B13" s="7" t="inlineStr">
        <x:is>
          <x:t xml:space="preserve">Curto Circuito</x:t>
        </x:is>
      </x:c>
      <x:c r="C13" s="55" t="inlineStr">
        <x:is>
          <x:t xml:space="preserve">Módulo 4G LTE Cat-4 A7608SA-H (teleoperação remota)</x:t>
        </x:is>
      </x:c>
      <x:c r="D13" s="8" t="n">
        <x:f>'Curto Circuito'!D5</x:f>
        <x:v>0.1</x:v>
      </x:c>
      <x:c r="E13" s="58" t="n">
        <x:f>'Curto Circuito'!F10</x:f>
        <x:v>448</x:v>
      </x:c>
      <x:c r="F13" s="58" t="n">
        <x:f>'Curto Circuito'!G10</x:f>
        <x:v>403.2</x:v>
      </x:c>
      <x:c r="G13" s="58" t="n">
        <x:f>E13-F13</x:f>
        <x:v>44.80000000000001</x:v>
      </x:c>
    </x:row>
    <x:row r="14">
      <x:c r="B14" s="10" t="inlineStr">
        <x:is>
          <x:t xml:space="preserve">Total Consolidado</x:t>
        </x:is>
      </x:c>
      <x:c r="C14" s="11" t="n"/>
      <x:c r="D14" s="11" t="n"/>
      <x:c r="E14" s="59" t="n">
        <x:f>SUM(E11:E13)</x:f>
        <x:v>741.6</x:v>
      </x:c>
      <x:c r="F14" s="59" t="n">
        <x:f>SUM(F11:F13)</x:f>
        <x:v>689.8699999999999</x:v>
      </x:c>
      <x:c r="G14" s="59" t="n">
        <x:f>SUM(G11:G13)</x:f>
        <x:v>51.73000000000002</x:v>
      </x:c>
    </x:row>
    <x:row r="17">
      <x:c r="B17" s="5" t="inlineStr">
        <x:is>
          <x:t xml:space="preserve">INVESTIMENTO POR CATEGORIA DE PRIORIDADE</x:t>
        </x:is>
      </x:c>
    </x:row>
    <x:row r="18">
      <x:c r="B18" s="13" t="inlineStr">
        <x:is>
          <x:t xml:space="preserve">Prioridade</x:t>
        </x:is>
      </x:c>
      <x:c r="C18" s="13" t="inlineStr">
        <x:is>
          <x:t xml:space="preserve">Objetivo / Abrangência</x:t>
        </x:is>
      </x:c>
      <x:c r="D18" s="13" t="inlineStr">
        <x:is>
          <x:t xml:space="preserve">Total Cartão</x:t>
        </x:is>
      </x:c>
      <x:c r="E18" s="13" t="inlineStr">
        <x:is>
          <x:t xml:space="preserve">Total Pix/Boleto</x:t>
        </x:is>
      </x:c>
      <x:c r="F18" s="13" t="inlineStr">
        <x:is>
          <x:t xml:space="preserve">Participação</x:t>
        </x:is>
      </x:c>
    </x:row>
    <x:row r="19" ht="42" customHeight="1">
      <x:c r="B19" s="14" t="inlineStr">
        <x:is>
          <x:t xml:space="preserve">Alta</x:t>
        </x:is>
      </x:c>
      <x:c r="C19" s="55" t="str">
        <x:v>Térmica, tensão, antena condicional e 4G futuro</x:v>
      </x:c>
      <x:c r="D19" s="58" t="n">
        <x:f>SUMIF(UsinaInfo!I8:I15,"Alta",UsinaInfo!F8:F15)+SUMIF('Mercado Livre'!I8:I10,"Alta",'Mercado Livre'!F8:F10)+SUMIF('Curto Circuito'!I8:I8,"Alta",'Curto Circuito'!F8:F8)</x:f>
        <x:v>516</x:v>
      </x:c>
      <x:c r="E19" s="58" t="n">
        <x:f>SUMIF(UsinaInfo!I8:I15,"Alta",UsinaInfo!G8:G15)+SUMIF('Mercado Livre'!I8:I10,"Alta",'Mercado Livre'!G8:G10)+SUMIF('Curto Circuito'!I8:I8,"Alta",'Curto Circuito'!G8:G8)</x:f>
        <x:v>467.79999999999995</x:v>
      </x:c>
      <x:c r="F19" s="61" t="n">
        <x:f>IF($B$6=0,"",D19/$B$6)</x:f>
        <x:v>0.6957928802588996</x:v>
      </x:c>
    </x:row>
    <x:row r="20" ht="42" customHeight="1">
      <x:c r="B20" s="15" t="inlineStr">
        <x:is>
          <x:t xml:space="preserve">Média</x:t>
        </x:is>
      </x:c>
      <x:c r="C20" s="55" t="inlineStr">
        <x:is>
          <x:t xml:space="preserve">Display OLED de bateria (UsinaInfo)</x:t>
        </x:is>
      </x:c>
      <x:c r="D20" s="58" t="n">
        <x:f>SUMIF(UsinaInfo!I8:I15,"Média",UsinaInfo!F8:F15)+SUMIF('Mercado Livre'!I8:I10,"Média",'Mercado Livre'!F8:F10)+SUMIF('Curto Circuito'!I8:I8,"Média",'Curto Circuito'!F8:F8)</x:f>
        <x:v>24.3</x:v>
      </x:c>
      <x:c r="E20" s="58" t="n">
        <x:f>SUMIF(UsinaInfo!I8:I15,"Média",UsinaInfo!G8:G15)+SUMIF('Mercado Livre'!I8:I10,"Média",'Mercado Livre'!G8:G10)+SUMIF('Curto Circuito'!I8:I8,"Média",'Curto Circuito'!G8:G8)</x:f>
        <x:v>23.09</x:v>
      </x:c>
      <x:c r="F20" s="61" t="n">
        <x:f>IF($B$6=0,"",D20/$B$6)</x:f>
        <x:v>0.032766990291262135</x:v>
      </x:c>
    </x:row>
    <x:row r="21" ht="42" customHeight="1">
      <x:c r="B21" s="16" t="inlineStr">
        <x:is>
          <x:t xml:space="preserve">Baixa</x:t>
        </x:is>
      </x:c>
      <x:c r="C21" s="55" t="str">
        <x:v>Controle futuro + itens ML ainda estimados</x:v>
      </x:c>
      <x:c r="D21" s="58" t="n">
        <x:f>SUMIF(UsinaInfo!I8:I15,"Baixa",UsinaInfo!F8:F15)+SUMIF('Mercado Livre'!I8:I10,"Baixa",'Mercado Livre'!F8:F10)+SUMIF('Curto Circuito'!I8:I8,"Baixa",'Curto Circuito'!F8:F8)</x:f>
        <x:v>201.29999999999998</x:v>
      </x:c>
      <x:c r="E21" s="58" t="n">
        <x:f>SUMIF(UsinaInfo!I8:I15,"Baixa",UsinaInfo!G8:G15)+SUMIF('Mercado Livre'!I8:I10,"Baixa",'Mercado Livre'!G8:G10)+SUMIF('Curto Circuito'!I8:I8,"Baixa",'Curto Circuito'!G8:G8)</x:f>
        <x:v>198.98</x:v>
      </x:c>
      <x:c r="F21" s="61" t="n">
        <x:f>IF($B$6=0,"",D21/$B$6)</x:f>
        <x:v>0.27144012944983814</x:v>
      </x:c>
    </x:row>
    <x:row r="22">
      <x:c r="B22" s="10" t="inlineStr">
        <x:is>
          <x:t xml:space="preserve">Total Consolidado</x:t>
        </x:is>
      </x:c>
      <x:c r="C22" s="11" t="n"/>
      <x:c r="D22" s="59" t="n">
        <x:f>SUM(D19:D21)</x:f>
        <x:v>741.5999999999999</x:v>
      </x:c>
      <x:c r="E22" s="59" t="n">
        <x:f>SUM(E19:E21)</x:f>
        <x:v>689.8699999999999</x:v>
      </x:c>
      <x:c r="F22" s="62" t="n">
        <x:f>SUM(F19:F21)</x:f>
        <x:v>1</x:v>
      </x:c>
    </x:row>
    <x:row r="24" ht="56" customHeight="1">
      <x:c r="B24" t="str">
        <x:v>Compra pendente</x:v>
      </x:c>
      <x:c r="C24" s="56" t="str">
        <x:v>3 anúncios ML sem Full confirmado. Antena e receptor dependem do modelo da placa/rádio.</x:v>
      </x:c>
    </x:row>
    <x:row r="25" ht="56" customHeight="1">
      <x:c r="B25" t="str">
        <x:v>Conjunto incompleto</x:v>
      </x:c>
      <x:c r="C25" s="56" t="str">
        <x:v>Farol sem limitador/acionamento/dissipação. Controle precisa de microcontrolador. Thermal pad não cotado.</x:v>
      </x:c>
    </x:row>
    <x:row r="26" ht="56" customHeight="1">
      <x:c r="B26" t="str">
        <x:v>4G / bancada</x:v>
      </x:c>
      <x:c r="C26" s="56" t="str">
        <x:v>Alimentação, interface, vídeo e encaixe do módulo ainda precisam de validação. Fretes e plano não incluídos.</x:v>
      </x:c>
    </x:row>
    <x:row r="27">
      <x:c r="B27" t="str">
        <x:v>Subtotal lojas diretas</x:v>
      </x:c>
      <x:c r="E27" s="60" t="n">
        <x:f>SUM(E11,E13)</x:f>
        <x:v>586.9</x:v>
      </x:c>
      <x:c r="F27" s="60" t="n">
        <x:f>SUM(F11,F13)</x:f>
        <x:v>535.17</x:v>
      </x:c>
    </x:row>
  </x:sheetData>
  <x:mergeCells>
    <x:mergeCell ref="B17:F17"/>
    <x:mergeCell ref="B9:G9"/>
  </x:mergeCells>
  <x:pageMargins left="0.7" right="0.7" top="0.75" bottom="0.75" header="0.3" footer="0.3"/>
</x: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1" workbookViewId="0"/>
  </sheetViews>
  <sheetFormatPr baseColWidth="8" defaultRowHeight="15"/>
  <cols>
    <col min="1" max="1" width="3" customWidth="1"/>
    <col min="2" max="2" width="14" customWidth="1"/>
    <col min="3" max="3" width="38" customWidth="1"/>
    <col min="4" max="4" width="8" customWidth="1"/>
    <col min="5" max="5" width="15" customWidth="1"/>
    <col min="6" max="6" width="17" customWidth="1"/>
    <col min="7" max="7" width="20" customWidth="1"/>
    <col min="8" max="8" width="16" customWidth="1"/>
    <col min="9" max="9" width="13" customWidth="1"/>
    <col min="10" max="10" width="14" customWidth="1"/>
    <col min="11" max="11" width="48" customWidth="1"/>
  </cols>
  <sheetData>
    <row r="2">
      <c r="B2" s="1" t="inlineStr">
        <is>
          <t xml:space="preserve">USINAINFO — COMPONENTES DE BANCADA, SENSORES &amp; CONTROLE</t>
        </is>
      </c>
    </row>
    <row r="3">
      <c r="B3" s="2" t="str">
        <v>Preços consultados em 13/10/2026. Montagem e compatibilidade ainda dependem de bancada.</v>
      </c>
    </row>
    <row r="5">
      <c r="B5" s="18" t="inlineStr">
        <is>
          <t xml:space="preserve">Desconto Boleto / Pix:</t>
        </is>
      </c>
      <c r="D5" s="68" t="n">
        <v>0.05</v>
      </c>
      <c r="E5" s="2" t="inlineStr">
        <is>
          <t xml:space="preserve">(editável)</t>
        </is>
      </c>
    </row>
    <row r="7">
      <c r="B7" s="6" t="inlineStr">
        <is>
          <t xml:space="preserve">Código</t>
        </is>
      </c>
      <c r="C7" s="6" t="inlineStr">
        <is>
          <t xml:space="preserve">Produto</t>
        </is>
      </c>
      <c r="D7" s="6" t="inlineStr">
        <is>
          <t xml:space="preserve">Qtd</t>
        </is>
      </c>
      <c r="E7" s="6" t="inlineStr">
        <is>
          <t xml:space="preserve">Unit. Cartão</t>
        </is>
      </c>
      <c r="F7" s="6" t="inlineStr">
        <is>
          <t xml:space="preserve">Subtotal Cartão</t>
        </is>
      </c>
      <c r="G7" s="6" t="inlineStr">
        <is>
          <t xml:space="preserve">À Vista (Pix/Boleto)</t>
        </is>
      </c>
      <c r="H7" s="6" t="inlineStr">
        <is>
          <t xml:space="preserve">Link do Produto</t>
        </is>
      </c>
      <c r="I7" s="6" t="inlineStr">
        <is>
          <t xml:space="preserve">Prioridade</t>
        </is>
      </c>
      <c r="J7" s="6" t="inlineStr">
        <is>
          <t xml:space="preserve">Situação</t>
        </is>
      </c>
      <c r="K7" s="6" t="inlineStr">
        <is>
          <t xml:space="preserve">Uso / Compatibilidade Técnica</t>
        </is>
      </c>
    </row>
    <row r="8" ht="46" customHeight="1">
      <c r="B8" s="38" t="inlineStr">
        <is>
          <t xml:space="preserve">07459</t>
        </is>
      </c>
      <c r="C8" s="39" t="inlineStr">
        <is>
          <t xml:space="preserve">Mini ventoinha 5V 25 × 25 × 10 mm</t>
        </is>
      </c>
      <c r="D8" s="38" t="n">
        <v>1</v>
      </c>
      <c r="E8" s="63" t="n">
        <v>16.97</v>
      </c>
      <c r="F8" s="63" t="n">
        <f>ROUND(D8*E8,2)</f>
        <v>16.97</v>
      </c>
      <c r="G8" s="63" t="n">
        <f>ROUND(F8*(1-$D$5),2)</f>
        <v>16.12</v>
      </c>
      <c r="H8" s="41" t="str">
        <v>Abrir produto</v>
      </c>
      <c r="I8" s="42" t="inlineStr">
        <is>
          <t xml:space="preserve">Alta</t>
        </is>
      </c>
      <c r="J8" s="51" t="inlineStr">
        <is>
          <t xml:space="preserve">Em estoque</t>
        </is>
      </c>
      <c r="K8" s="43" t="str">
        <v>5 V, 30–60 mA. Prever entrada/saída de ar. Ficha cita 25×25×10 mm; fotos mostram 7 mm: confirmar espessura.</v>
      </c>
    </row>
    <row r="9" ht="46" customHeight="1">
      <c r="B9" s="44" t="inlineStr">
        <is>
          <t xml:space="preserve">06077</t>
        </is>
      </c>
      <c r="C9" s="45" t="inlineStr">
        <is>
          <t xml:space="preserve">DS18B20 — sensor de temperatura digital</t>
        </is>
      </c>
      <c r="D9" s="44" t="n">
        <v>2</v>
      </c>
      <c r="E9" s="64" t="n">
        <v>15.34</v>
      </c>
      <c r="F9" s="64" t="n">
        <f>ROUND(D9*E9,2)</f>
        <v>30.68</v>
      </c>
      <c r="G9" s="64" t="n">
        <f>ROUND(F9*(1-$D$5),2)</f>
        <v>29.15</v>
      </c>
      <c r="H9" s="47" t="str">
        <v>Abrir produto</v>
      </c>
      <c r="I9" s="42" t="inlineStr">
        <is>
          <t xml:space="preserve">Alta</t>
        </is>
      </c>
      <c r="J9" s="52" t="inlineStr">
        <is>
          <t xml:space="preserve">Em estoque</t>
        </is>
      </c>
      <c r="K9" s="48" t="str">
        <v>Componente avulso. Prever pull-up 4,7 kΩ e isolamento. Medir região quente da câmera e ambiente; não mede a junção.</v>
      </c>
    </row>
    <row r="10" ht="46" customHeight="1">
      <c r="B10" s="38" t="inlineStr">
        <is>
          <t xml:space="preserve">07479</t>
        </is>
      </c>
      <c r="C10" s="39" t="inlineStr">
        <is>
          <t xml:space="preserve">Kit de 3 dissipadores autoadesivos</t>
        </is>
      </c>
      <c r="D10" s="38" t="n">
        <v>1</v>
      </c>
      <c r="E10" s="63" t="n">
        <v>3.6</v>
      </c>
      <c r="F10" s="63" t="n">
        <f>ROUND(D10*E10,2)</f>
        <v>3.6</v>
      </c>
      <c r="G10" s="63" t="n">
        <f>ROUND(F10*(1-$D$5),2)</f>
        <v>3.42</v>
      </c>
      <c r="H10" s="41" t="str">
        <v>Abrir produto</v>
      </c>
      <c r="I10" s="42" t="inlineStr">
        <is>
          <t xml:space="preserve">Alta</t>
        </is>
      </c>
      <c r="J10" s="51" t="inlineStr">
        <is>
          <t xml:space="preserve">Em estoque</t>
        </is>
      </c>
      <c r="K10" s="43" t="str">
        <v>3 peças por kit. Confirmar dimensões, contato térmico e isolamento. Não garante resfriamento da OV5640.</v>
      </c>
    </row>
    <row r="11" ht="46" customHeight="1">
      <c r="B11" s="44" t="inlineStr">
        <is>
          <t xml:space="preserve">06731</t>
        </is>
      </c>
      <c r="C11" s="45" t="inlineStr">
        <is>
          <t xml:space="preserve">Sensor de tensão DC 0–25 V (divisor 5:1)</t>
        </is>
      </c>
      <c r="D11" s="44" t="n">
        <v>1</v>
      </c>
      <c r="E11" s="64" t="n">
        <v>4.95</v>
      </c>
      <c r="F11" s="64" t="n">
        <f>ROUND(D11*E11,2)</f>
        <v>4.95</v>
      </c>
      <c r="G11" s="64" t="n">
        <f>ROUND(F11*(1-$D$5),2)</f>
        <v>4.7</v>
      </c>
      <c r="H11" s="47" t="str">
        <v>Abrir produto</v>
      </c>
      <c r="I11" s="42" t="inlineStr">
        <is>
          <t xml:space="preserve">Alta</t>
        </is>
      </c>
      <c r="J11" s="52" t="inlineStr">
        <is>
          <t xml:space="preserve">Em estoque</t>
        </is>
      </c>
      <c r="K11" s="48" t="str">
        <v>Divisor 5:1 para A0 do Nano. Alternativa ao divisor já documentado. Calibrar; tensão não fornece % exata de carga.</v>
      </c>
    </row>
    <row r="12" ht="46" customHeight="1">
      <c r="B12" s="38" t="str">
        <v>08359</v>
      </c>
      <c r="C12" s="39" t="inlineStr">
        <is>
          <t xml:space="preserve">Antena Wi-Fi 2,4GHz 3dBi c/ Pigtail U.FL IPEX1</t>
        </is>
      </c>
      <c r="D12" s="38" t="n">
        <v>1</v>
      </c>
      <c r="E12" s="63" t="n">
        <v>11.8</v>
      </c>
      <c r="F12" s="63" t="n">
        <f>ROUND(D12*E12,2)</f>
        <v>11.8</v>
      </c>
      <c r="G12" s="63" t="n">
        <f>ROUND(F12*(1-$D$5),2)</f>
        <v>11.21</v>
      </c>
      <c r="H12" s="41" t="str">
        <v>Abrir produto</v>
      </c>
      <c r="I12" s="42" t="inlineStr">
        <is>
          <t xml:space="preserve">Alta</t>
        </is>
      </c>
      <c r="J12" s="51" t="str">
        <v>Compatibilidade pendente</v>
      </c>
      <c r="K12" s="43" t="str">
        <v>Wi-Fi 2,4 GHz, não antena 4G. Exige conector U.FL/IPEX1 e seleção RF compatíveis na placa. Sem ganho de vídeo garantido.</v>
      </c>
    </row>
    <row r="13" ht="46" customHeight="1">
      <c r="B13" s="44" t="inlineStr">
        <is>
          <t xml:space="preserve">08483</t>
        </is>
      </c>
      <c r="C13" s="45" t="inlineStr">
        <is>
          <t xml:space="preserve">Display OLED 0,96” I²C 128×64 (SSD1306)</t>
        </is>
      </c>
      <c r="D13" s="44" t="n">
        <v>1</v>
      </c>
      <c r="E13" s="64" t="n">
        <v>24.3</v>
      </c>
      <c r="F13" s="64" t="n">
        <f>ROUND(D13*E13,2)</f>
        <v>24.3</v>
      </c>
      <c r="G13" s="64" t="n">
        <f>ROUND(F13*(1-$D$5),2)</f>
        <v>23.09</v>
      </c>
      <c r="H13" s="47" t="str">
        <v>Abrir produto</v>
      </c>
      <c r="I13" s="49" t="inlineStr">
        <is>
          <t xml:space="preserve">Média</t>
        </is>
      </c>
      <c r="J13" s="52" t="inlineStr">
        <is>
          <t xml:space="preserve">Em estoque</t>
        </is>
      </c>
      <c r="K13" s="48" t="str">
        <v>Nano: A4/A5. Conferir disponibilidade. SSD1306 com framebuffer usa 1 kB; preferir buffer de página U8g2 (U8g2 não é sempre leve).</v>
      </c>
    </row>
    <row r="14" ht="46" customHeight="1">
      <c r="B14" s="38" t="inlineStr">
        <is>
          <t xml:space="preserve">08712</t>
        </is>
      </c>
      <c r="C14" s="39" t="inlineStr">
        <is>
          <t xml:space="preserve">Display TFT 1,3” ST7789 SPI 240×240</t>
        </is>
      </c>
      <c r="D14" s="38" t="n">
        <v>1</v>
      </c>
      <c r="E14" s="63" t="n">
        <v>34.7</v>
      </c>
      <c r="F14" s="63" t="n">
        <f>ROUND(D14*E14,2)</f>
        <v>34.7</v>
      </c>
      <c r="G14" s="63" t="n">
        <f>ROUND(F14*(1-$D$5),2)</f>
        <v>32.97</v>
      </c>
      <c r="H14" s="41" t="str">
        <v>Abrir produto</v>
      </c>
      <c r="I14" s="50" t="inlineStr">
        <is>
          <t xml:space="preserve">Baixa</t>
        </is>
      </c>
      <c r="J14" s="51" t="inlineStr">
        <is>
          <t xml:space="preserve">Em estoque</t>
        </is>
      </c>
      <c r="K14" s="43" t="str">
        <v>Controle futuro. Precisa de microcontrolador disponível no laboratório; TFT sozinho não recebe vídeo nem envia comandos.</v>
      </c>
    </row>
    <row r="15" ht="46" customHeight="1">
      <c r="B15" s="44" t="inlineStr">
        <is>
          <t xml:space="preserve">05623</t>
        </is>
      </c>
      <c r="C15" s="45" t="inlineStr">
        <is>
          <t xml:space="preserve">Joystick analógico KY-023 / HW-504</t>
        </is>
      </c>
      <c r="D15" s="44" t="n">
        <v>2</v>
      </c>
      <c r="E15" s="64" t="n">
        <v>5.95</v>
      </c>
      <c r="F15" s="64" t="n">
        <f>ROUND(D15*E15,2)</f>
        <v>11.9</v>
      </c>
      <c r="G15" s="64" t="n">
        <f>ROUND(F15*(1-$D$5),2)</f>
        <v>11.31</v>
      </c>
      <c r="H15" s="47" t="str">
        <v>Abrir produto</v>
      </c>
      <c r="I15" s="50" t="inlineStr">
        <is>
          <t xml:space="preserve">Baixa</t>
        </is>
      </c>
      <c r="J15" s="52" t="inlineStr">
        <is>
          <t xml:space="preserve">Em estoque</t>
        </is>
      </c>
      <c r="K15" s="48" t="str">
        <v>Dois joysticks, cada um com dois eixos + botão. No ESP alimentar em 3,3 V; não conectar saídas 5 V ao ADC.</v>
      </c>
    </row>
    <row r="16">
      <c r="E16" s="60"/>
      <c r="F16" s="60"/>
      <c r="G16" s="60"/>
    </row>
    <row r="17">
      <c r="E17" s="60"/>
      <c r="F17" s="60"/>
      <c r="G17" s="60"/>
    </row>
    <row r="18">
      <c r="B18" s="11" t="n"/>
      <c r="C18" s="10" t="inlineStr">
        <is>
          <t xml:space="preserve">Total dos itens cotados (UsinaInfo)</t>
        </is>
      </c>
      <c r="D18" s="11" t="n"/>
      <c r="E18" s="65" t="n"/>
      <c r="F18" s="59" t="n">
        <f>SUM(F8:F15)</f>
        <v>138.9</v>
      </c>
      <c r="G18" s="59" t="n">
        <f>SUM(G8:G15)</f>
        <v>131.97</v>
      </c>
      <c r="H18" s="11" t="n"/>
      <c r="I18" s="11" t="n"/>
      <c r="J18" s="11" t="n"/>
      <c r="K18" s="11" t="n"/>
    </row>
    <row r="19">
      <c r="B19" s="31" t="n"/>
      <c r="C19" s="32" t="inlineStr">
        <is>
          <t xml:space="preserve">Subtotal Prioridade Alta (cotados)</t>
        </is>
      </c>
      <c r="D19" s="31" t="n"/>
      <c r="E19" s="66" t="n"/>
      <c r="F19" s="67" t="n">
        <f>SUMIF(I8:I15,"Alta",F8:F15)</f>
        <v>68</v>
      </c>
      <c r="G19" s="67" t="n">
        <f>SUMIF(I8:I15,"Alta",G8:G15)</f>
        <v>64.6</v>
      </c>
      <c r="H19" s="31" t="n"/>
      <c r="I19" s="31" t="n"/>
      <c r="J19" s="31" t="n"/>
      <c r="K19" s="31" t="n"/>
    </row>
    <row r="20">
      <c r="B20" s="31" t="n"/>
      <c r="C20" s="32" t="inlineStr">
        <is>
          <t xml:space="preserve">Subtotal Prioridade Média (cotados)</t>
        </is>
      </c>
      <c r="D20" s="31" t="n"/>
      <c r="E20" s="66" t="n"/>
      <c r="F20" s="67" t="n">
        <f>SUMIF(I8:I15,"Média",F8:F15)</f>
        <v>24.3</v>
      </c>
      <c r="G20" s="67" t="n">
        <f>SUMIF(I8:I15,"Média",G8:G15)</f>
        <v>23.09</v>
      </c>
      <c r="H20" s="31" t="n"/>
      <c r="I20" s="31" t="n"/>
      <c r="J20" s="31" t="n"/>
      <c r="K20" s="31" t="n"/>
    </row>
    <row r="21">
      <c r="B21" s="31" t="n"/>
      <c r="C21" s="32" t="inlineStr">
        <is>
          <t xml:space="preserve">Subtotal Prioridade Baixa (cotados)</t>
        </is>
      </c>
      <c r="D21" s="31" t="n"/>
      <c r="E21" s="66" t="n"/>
      <c r="F21" s="67" t="n">
        <f>SUMIF(I8:I15,"Baixa",F8:F15)</f>
        <v>46.6</v>
      </c>
      <c r="G21" s="67" t="n">
        <f>SUMIF(I8:I15,"Baixa",G8:G15)</f>
        <v>44.28</v>
      </c>
      <c r="H21" s="31" t="n"/>
      <c r="I21" s="31" t="n"/>
      <c r="J21" s="31" t="n"/>
      <c r="K21" s="31" t="n"/>
    </row>
    <row r="23">
      <c r="B23" s="18" t="inlineStr">
        <is>
          <t xml:space="preserve">Notas e Observações:</t>
        </is>
      </c>
    </row>
    <row r="24">
      <c r="B24" s="2" t="inlineStr">
        <is>
          <t xml:space="preserve">• ¹ Desconto à vista de 5% configurável na célula D5. Fretes não inclusos.</t>
        </is>
      </c>
    </row>
    <row r="25">
      <c r="B25" s="2" t="str">
        <v>Preços dos 8 itens conferidos; sensor DC: valor consultado nesta sessão. Estoque pode mudar.</v>
      </c>
    </row>
    <row r="26">
      <c r="B26" s="2" t="str">
        <v>W5500 e ESP auxiliar ausentes nesta versão; controle futuro precisa de placa disponível no laboratório.</v>
      </c>
    </row>
    <row r="27">
      <c r="B27" t="str">
        <v>Thermal pad não consta nesta lista. Verificar espessura e área de contato antes de cotar.</v>
      </c>
    </row>
  </sheetData>
  <dataValidations count="1">
    <dataValidation type="list" sqref="I8:I15">
      <formula1>"Alta,Média,Baixa"</formula1>
    </dataValidation>
  </dataValidations>
  <hyperlinks>
    <hyperlink ref="H8" r:id="auditLink1"/>
    <hyperlink ref="H9" r:id="auditLink2"/>
    <hyperlink ref="H10" r:id="auditLink3"/>
    <hyperlink ref="H11" r:id="auditLink4"/>
    <hyperlink ref="H12" r:id="auditLink5"/>
    <hyperlink ref="H13" r:id="auditLink6"/>
    <hyperlink ref="H14" r:id="auditLink7"/>
    <hyperlink ref="H15" r:id="auditLink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1" workbookViewId="0"/>
  </sheetViews>
  <sheetFormatPr baseColWidth="8" defaultRowHeight="15"/>
  <cols>
    <col min="1" max="1" width="3" customWidth="1"/>
    <col min="2" max="2" width="14" customWidth="1"/>
    <col min="3" max="3" width="42" customWidth="1"/>
    <col min="4" max="4" width="8" customWidth="1"/>
    <col min="5" max="5" width="15" customWidth="1"/>
    <col min="6" max="6" width="17" customWidth="1"/>
    <col min="7" max="7" width="20" customWidth="1"/>
    <col min="8" max="8" width="18" customWidth="1"/>
    <col min="9" max="9" width="13" customWidth="1"/>
    <col min="10" max="10" width="16" customWidth="1"/>
    <col min="11" max="11" width="52" customWidth="1"/>
  </cols>
  <sheetData>
    <row r="2">
      <c r="B2" s="1" t="inlineStr">
        <is>
          <t xml:space="preserve">MERCADO LIVRE — COMPONENTES DE EXPANSÃO (PRIORIDADE BAIXA)</t>
        </is>
      </c>
    </row>
    <row r="3">
      <c r="B3" s="2" t="str">
        <v>Ofertas ainda a recotar com vendedor e item específicos. Links atuais não comprovam Full.</v>
      </c>
    </row>
    <row r="5">
      <c r="B5" s="18" t="inlineStr">
        <is>
          <t xml:space="preserve">Desconto Boleto / Pix:</t>
        </is>
      </c>
      <c r="D5" s="69" t="n">
        <v>0</v>
      </c>
      <c r="E5" s="2" t="inlineStr">
        <is>
          <t xml:space="preserve">(Preço padrão cartão/Pix)</t>
        </is>
      </c>
    </row>
    <row r="7">
      <c r="B7" s="6" t="inlineStr">
        <is>
          <t xml:space="preserve">Código</t>
        </is>
      </c>
      <c r="C7" s="6" t="inlineStr">
        <is>
          <t xml:space="preserve">Produto</t>
        </is>
      </c>
      <c r="D7" s="6" t="inlineStr">
        <is>
          <t xml:space="preserve">Qtd</t>
        </is>
      </c>
      <c r="E7" s="6" t="str">
        <v>Unit. estimado</v>
      </c>
      <c r="F7" s="6" t="inlineStr">
        <is>
          <t xml:space="preserve">Subtotal Cartão</t>
        </is>
      </c>
      <c r="G7" s="6" t="inlineStr">
        <is>
          <t xml:space="preserve">À Vista (Pix/Boleto)</t>
        </is>
      </c>
      <c r="H7" s="6" t="inlineStr">
        <is>
          <t xml:space="preserve">Link do Produto</t>
        </is>
      </c>
      <c r="I7" s="6" t="inlineStr">
        <is>
          <t xml:space="preserve">Prioridade</t>
        </is>
      </c>
      <c r="J7" s="6" t="inlineStr">
        <is>
          <t xml:space="preserve">Situação</t>
        </is>
      </c>
      <c r="K7" s="6" t="inlineStr">
        <is>
          <t xml:space="preserve">Uso / Compatibilidade Técnica</t>
        </is>
      </c>
    </row>
    <row r="8" ht="55" customHeight="1">
      <c r="B8" s="38" t="inlineStr">
        <is>
          <t xml:space="preserve">ML-SD32</t>
        </is>
      </c>
      <c r="C8" s="39" t="inlineStr">
        <is>
          <t xml:space="preserve">Cartão microSD SanDisk Ultra 32GB Classe 10 + Adaptador</t>
        </is>
      </c>
      <c r="D8" s="38" t="n">
        <v>1</v>
      </c>
      <c r="E8" s="63" t="n">
        <v>44.9</v>
      </c>
      <c r="F8" s="63" t="n">
        <f>ROUND(D8*E8,2)</f>
        <v>44.9</v>
      </c>
      <c r="G8" s="63" t="n">
        <f>ROUND(F8*(1-$D$5),2)</f>
        <v>44.9</v>
      </c>
      <c r="H8" s="41" t="str">
        <v>Revisar anúncio</v>
      </c>
      <c r="I8" s="50" t="str">
        <v>Baixa</v>
      </c>
      <c r="J8" s="51" t="str">
        <v>A recotar Full</v>
      </c>
      <c r="K8" s="43" t="str">
        <v>R$44,90 não confirmado. Link abriu a R$59 sem Full. Confirmar slot/firmware SD; gravação contínua não implementada/validada.</v>
      </c>
    </row>
    <row r="9" ht="55" customHeight="1">
      <c r="B9" s="44" t="inlineStr">
        <is>
          <t xml:space="preserve">ML-LED3W</t>
        </is>
      </c>
      <c r="C9" s="45" t="inlineStr">
        <is>
          <t xml:space="preserve">Kit 10x LEDs 3W Branco Frio 6000K c/ Base Estrela</t>
        </is>
      </c>
      <c r="D9" s="44" t="n">
        <v>1</v>
      </c>
      <c r="E9" s="64" t="n">
        <v>29.9</v>
      </c>
      <c r="F9" s="64" t="n">
        <f>ROUND(D9*E9,2)</f>
        <v>29.9</v>
      </c>
      <c r="G9" s="64" t="n">
        <f>ROUND(F9*(1-$D$5),2)</f>
        <v>29.9</v>
      </c>
      <c r="H9" s="47" t="str">
        <v>Revisar anúncio</v>
      </c>
      <c r="I9" s="50" t="inlineStr">
        <is>
          <t xml:space="preserve">Baixa</t>
        </is>
      </c>
      <c r="J9" s="52" t="str">
        <v>A recotar Full</v>
      </c>
      <c r="K9" s="48" t="str">
        <v>R$29,90 não confirmado; anúncio abriu a R$70,13 sem Full confirmado. Corrente não validada. Farol exige limitador, PWM e dissipação dedicada.</v>
      </c>
    </row>
    <row r="10" ht="55" customHeight="1">
      <c r="B10" s="38" t="inlineStr">
        <is>
          <t xml:space="preserve">ML-FSIA6B</t>
        </is>
      </c>
      <c r="C10" s="39" t="inlineStr">
        <is>
          <t xml:space="preserve">Receptor FlySky FS-iA6B 6CH 2.4GHz AFHDS 2A</t>
        </is>
      </c>
      <c r="D10" s="38" t="n">
        <v>1</v>
      </c>
      <c r="E10" s="63" t="n">
        <v>79.90000000000001</v>
      </c>
      <c r="F10" s="63" t="n">
        <f>ROUND(D10*E10,2)</f>
        <v>79.9</v>
      </c>
      <c r="G10" s="63" t="n">
        <f>ROUND(F10*(1-$D$5),2)</f>
        <v>79.9</v>
      </c>
      <c r="H10" s="41" t="str">
        <v>Revisar anúncio</v>
      </c>
      <c r="I10" s="50" t="inlineStr">
        <is>
          <t xml:space="preserve">Baixa</t>
        </is>
      </c>
      <c r="J10" s="51" t="str">
        <v>Importado; não elegível</v>
      </c>
      <c r="K10" s="43" t="str">
        <v>Preço estimado sem cotação elegível. AFHDS 2A: confirmar modelo do FlySky. Marca/procedência do anúncio não comprovam receptor oficial. Integrar ao Nano + failsafe.</v>
      </c>
    </row>
    <row r="11">
      <c r="E11" s="60"/>
      <c r="F11" s="60"/>
      <c r="G11" s="60"/>
    </row>
    <row r="12">
      <c r="E12" s="60"/>
      <c r="F12" s="60"/>
      <c r="G12" s="60"/>
    </row>
    <row r="13">
      <c r="B13" s="11" t="n"/>
      <c r="C13" s="10" t="str">
        <v>Total estimado (não validado)</v>
      </c>
      <c r="D13" s="11" t="n"/>
      <c r="E13" s="65" t="n"/>
      <c r="F13" s="59" t="n">
        <f>SUM(F8:F10)</f>
        <v>154.7</v>
      </c>
      <c r="G13" s="59" t="n">
        <f>SUM(G8:G10)</f>
        <v>154.7</v>
      </c>
      <c r="H13" s="11" t="n"/>
      <c r="I13" s="11" t="n"/>
      <c r="J13" s="11" t="n"/>
      <c r="K13" s="11" t="n"/>
    </row>
    <row r="14">
      <c r="B14" s="31" t="n"/>
      <c r="C14" s="32" t="str">
        <v>Subtotal prioridade baixa (estimado)</v>
      </c>
      <c r="D14" s="31" t="n"/>
      <c r="E14" s="66" t="n"/>
      <c r="F14" s="67" t="n">
        <f>SUMIF(I8:I10,"Baixa",F8:F10)</f>
        <v>154.7</v>
      </c>
      <c r="G14" s="67" t="n">
        <f>SUMIF(I8:I10,"Baixa",G8:G10)</f>
        <v>154.7</v>
      </c>
      <c r="H14" s="31" t="n"/>
      <c r="I14" s="31" t="n"/>
      <c r="J14" s="31" t="n"/>
      <c r="K14" s="31" t="n"/>
    </row>
    <row r="16">
      <c r="B16" s="18" t="inlineStr">
        <is>
          <t xml:space="preserve">Notas e Observações ML:</t>
        </is>
      </c>
    </row>
    <row r="17">
      <c r="B17" s="2" t="str">
        <v>Catálogo MLB/MLBU não garante Full. Registrar oferta, vendedor e Full na seção de compra.</v>
      </c>
    </row>
    <row r="18">
      <c r="B18" s="2" t="str">
        <v>Driver ausente: o farol só fica completo com limitação de corrente, acionamento e dissipação dimensionados.</v>
      </c>
    </row>
    <row r="19">
      <c r="B19" s="2" t="str">
        <v>Prioridades desta versão preservadas. Valores estimados mantidos; não são cotações aprovadas.</v>
      </c>
    </row>
  </sheetData>
  <dataValidations count="1">
    <dataValidation type="list" sqref="I8:I10">
      <formula1>"Alta,Média,Baixa"</formula1>
    </dataValidation>
  </dataValidations>
  <hyperlinks>
    <hyperlink ref="H8" r:id="auditLink1"/>
    <hyperlink ref="H9" r:id="auditLink2"/>
    <hyperlink ref="H10" r:id="auditLink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1" workbookViewId="0"/>
  </sheetViews>
  <sheetFormatPr baseColWidth="8" defaultRowHeight="15"/>
  <cols>
    <col min="1" max="1" width="3" customWidth="1"/>
    <col min="2" max="2" width="16" customWidth="1"/>
    <col min="3" max="3" width="42" customWidth="1"/>
    <col min="4" max="4" width="8" customWidth="1"/>
    <col min="5" max="5" width="15" customWidth="1"/>
    <col min="6" max="6" width="17" customWidth="1"/>
    <col min="7" max="7" width="20" customWidth="1"/>
    <col min="8" max="8" width="16" customWidth="1"/>
    <col min="9" max="9" width="13" customWidth="1"/>
    <col min="10" max="10" width="14" customWidth="1"/>
    <col min="11" max="11" width="52" customWidth="1"/>
  </cols>
  <sheetData>
    <row r="2">
      <c r="B2" s="1" t="inlineStr">
        <is>
          <t xml:space="preserve">CURTO CIRCUITO — EXPANSÃO TELEMETRIA 4G / LTE</t>
        </is>
      </c>
    </row>
    <row r="3">
      <c r="B3" s="2" t="str">
        <v>Módulo LTE Cat-4 para expansão futura; ligação com a S3-CAM ainda a validar.</v>
      </c>
    </row>
    <row r="5">
      <c r="B5" s="18" t="inlineStr">
        <is>
          <t xml:space="preserve">Desconto Boleto / Pix:</t>
        </is>
      </c>
      <c r="D5" s="68" t="n">
        <v>0.1</v>
      </c>
      <c r="E5" s="2" t="inlineStr">
        <is>
          <t xml:space="preserve">(editável)</t>
        </is>
      </c>
    </row>
    <row r="7">
      <c r="B7" s="6" t="inlineStr">
        <is>
          <t xml:space="preserve">Código</t>
        </is>
      </c>
      <c r="C7" s="6" t="inlineStr">
        <is>
          <t xml:space="preserve">Produto</t>
        </is>
      </c>
      <c r="D7" s="6" t="inlineStr">
        <is>
          <t xml:space="preserve">Qtd</t>
        </is>
      </c>
      <c r="E7" s="6" t="inlineStr">
        <is>
          <t xml:space="preserve">Unit. Cartão</t>
        </is>
      </c>
      <c r="F7" s="6" t="inlineStr">
        <is>
          <t xml:space="preserve">Subtotal Cartão</t>
        </is>
      </c>
      <c r="G7" s="6" t="inlineStr">
        <is>
          <t xml:space="preserve">À Vista (Pix/Boleto)</t>
        </is>
      </c>
      <c r="H7" s="6" t="inlineStr">
        <is>
          <t xml:space="preserve">Link do Produto</t>
        </is>
      </c>
      <c r="I7" s="6" t="inlineStr">
        <is>
          <t xml:space="preserve">Prioridade</t>
        </is>
      </c>
      <c r="J7" s="6" t="inlineStr">
        <is>
          <t xml:space="preserve">Situação</t>
        </is>
      </c>
      <c r="K7" s="6" t="inlineStr">
        <is>
          <t xml:space="preserve">Uso / Compatibilidade Técnica</t>
        </is>
      </c>
    </row>
    <row r="8" ht="55" customHeight="1">
      <c r="B8" s="38" t="inlineStr">
        <is>
          <t xml:space="preserve">0000000018609</t>
        </is>
      </c>
      <c r="C8" s="39" t="inlineStr">
        <is>
          <t xml:space="preserve">Módulo A7608SA-H 4G LTE Cat-4 + Antena FCP</t>
        </is>
      </c>
      <c r="D8" s="38" t="n">
        <v>1</v>
      </c>
      <c r="E8" s="63" t="n">
        <v>448</v>
      </c>
      <c r="F8" s="63" t="n">
        <f>ROUND(D8*E8,2)</f>
        <v>448</v>
      </c>
      <c r="G8" s="63" t="n">
        <f>ROUND(F8*(1-$D$5),2)</f>
        <v>403.2</v>
      </c>
      <c r="H8" s="41" t="str">
        <v>Abrir produto</v>
      </c>
      <c r="I8" s="42" t="inlineStr">
        <is>
          <t xml:space="preserve">Alta</t>
        </is>
      </c>
      <c r="J8" s="51" t="str">
        <v>Cotado; integração pendente</v>
      </c>
      <c r="K8" s="43" t="str">
        <v>Placa 5–16 V, núcleo avulso 3,4–4,2 V. Reservar alimentação para picos; não assumir Mini-560 validado. USB/PPP, GPIO e vazão serial pendentes.</v>
      </c>
    </row>
    <row r="9">
      <c r="E9" s="60"/>
      <c r="F9" s="60"/>
      <c r="G9" s="60"/>
    </row>
    <row r="10">
      <c r="B10" s="11" t="n"/>
      <c r="C10" s="10" t="inlineStr">
        <is>
          <t xml:space="preserve">Total Curto Circuito</t>
        </is>
      </c>
      <c r="D10" s="11" t="n"/>
      <c r="E10" s="65" t="n"/>
      <c r="F10" s="59" t="n">
        <f>SUM(F8)</f>
        <v>448</v>
      </c>
      <c r="G10" s="59" t="n">
        <f>SUM(G8)</f>
        <v>403.2</v>
      </c>
      <c r="H10" s="11" t="n"/>
      <c r="I10" s="11" t="n"/>
      <c r="J10" s="11" t="n"/>
      <c r="K10" s="11" t="n"/>
    </row>
    <row r="12">
      <c r="B12" s="18" t="inlineStr">
        <is>
          <t xml:space="preserve">Notas e Observações:</t>
        </is>
      </c>
    </row>
    <row r="13">
      <c r="B13" s="2" t="inlineStr">
        <is>
          <t xml:space="preserve">• ¹ Desconto à vista de 10% da Curto Circuito configurável na célula D5.</t>
        </is>
      </c>
    </row>
    <row r="14">
      <c r="B14" s="2" t="inlineStr">
        <is>
          <t xml:space="preserve">• Frete e plano de dados móveis (M2M / IoT ou pré-pago) não inclusos no valor cotado.</t>
        </is>
      </c>
    </row>
    <row r="15">
      <c r="B15" s="2" t="str">
        <v>ML R$427,51: sem Full confirmado; alternativa excluída pelo requisito do usuário.</v>
      </c>
    </row>
    <row r="17">
      <c r="B17" s="18" t="inlineStr">
        <is>
          <t xml:space="preserve">Link Alternativa ML:</t>
        </is>
      </c>
      <c r="C17" s="35" t="str">
        <v>ML sem Full confirmado</v>
      </c>
    </row>
  </sheetData>
  <dataValidations count="1">
    <dataValidation type="list" sqref="I8">
      <formula1>"Alta,Média,Baixa"</formula1>
    </dataValidation>
  </dataValidations>
  <hyperlinks>
    <hyperlink ref="H8" r:id="auditLink1"/>
    <hyperlink ref="C17" r:id="auditLink2"/>
  </hyperlinks>
  <pageMargins left="0.7" right="0.7" top="0.75" bottom="0.75" header="0.3" footer="0.3"/>
</worksheet>
</file>