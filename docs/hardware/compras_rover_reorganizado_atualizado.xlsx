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sumo Geral" sheetId="1" state="visible" r:id="rId1"/>
    <sheet xmlns:r="http://schemas.openxmlformats.org/officeDocument/2006/relationships" name="UsinaInfo" sheetId="2" state="visible" r:id="rId2"/>
    <sheet xmlns:r="http://schemas.openxmlformats.org/officeDocument/2006/relationships" name="Mercado Livre" sheetId="3" state="visible" r:id="rId3"/>
    <sheet xmlns:r="http://schemas.openxmlformats.org/officeDocument/2006/relationships" name="Curto Circuito" sheetId="4" state="visible" r:id="rId4"/>
  </sheets>
  <definedNames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0.0%"/>
    <numFmt numFmtId="166" formatCode="&quot;R$ &quot;#,##0.00"/>
  </numFmts>
  <fonts count="11">
    <font>
      <name val="Calibri"/>
      <family val="2"/>
      <color theme="1"/>
      <sz val="11"/>
      <scheme val="minor"/>
    </font>
    <font>
      <name val="Segoe UI"/>
      <b val="1"/>
      <color rgb="FF1B365D"/>
      <sz val="14"/>
    </font>
    <font>
      <name val="Segoe UI"/>
      <i val="1"/>
      <color rgb="FF4B5563"/>
      <sz val="9"/>
    </font>
    <font>
      <name val="Segoe UI"/>
      <b val="1"/>
      <color rgb="FF4B5563"/>
      <sz val="8"/>
    </font>
    <font>
      <name val="Segoe UI"/>
      <b val="1"/>
      <color rgb="FF1B365D"/>
      <sz val="13"/>
    </font>
    <font>
      <name val="Segoe UI"/>
      <b val="1"/>
      <color rgb="FFFFFFFF"/>
      <sz val="11"/>
    </font>
    <font>
      <name val="Segoe UI"/>
      <b val="1"/>
      <color rgb="FFFFFFFF"/>
      <sz val="10"/>
    </font>
    <font>
      <name val="Segoe UI"/>
      <sz val="10"/>
    </font>
    <font>
      <name val="Segoe UI"/>
      <b val="1"/>
      <sz val="10"/>
    </font>
    <font>
      <name val="Segoe UI"/>
      <color rgb="FF1D4ED8"/>
      <sz val="10"/>
      <u val="single"/>
    </font>
    <font>
      <name val="Segoe UI"/>
      <color rgb="000563C1"/>
      <sz val="9"/>
      <u val="single"/>
    </font>
  </fonts>
  <fills count="10">
    <fill>
      <patternFill/>
    </fill>
    <fill>
      <patternFill patternType="gray125"/>
    </fill>
    <fill>
      <patternFill patternType="solid">
        <fgColor rgb="FFF3F4F6"/>
      </patternFill>
    </fill>
    <fill>
      <patternFill patternType="solid">
        <fgColor rgb="FF1B365D"/>
      </patternFill>
    </fill>
    <fill>
      <patternFill patternType="solid">
        <fgColor rgb="FFDEF7EC"/>
      </patternFill>
    </fill>
    <fill>
      <patternFill patternType="solid">
        <fgColor rgb="FFFEF3C7"/>
      </patternFill>
    </fill>
    <fill>
      <patternFill patternType="solid">
        <fgColor rgb="FFE1EFFE"/>
      </patternFill>
    </fill>
    <fill>
      <patternFill patternType="solid">
        <fgColor rgb="FFFFFFFF"/>
      </patternFill>
    </fill>
    <fill>
      <patternFill patternType="solid">
        <fgColor rgb="FFF9FAFB"/>
      </patternFill>
    </fill>
    <fill>
      <patternFill patternType="solid">
        <fgColor rgb="FF4B5563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double">
        <color rgb="FF1B365D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/>
    </xf>
    <xf numFmtId="165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right"/>
    </xf>
    <xf numFmtId="0" fontId="8" fillId="0" borderId="2" pivotButton="0" quotePrefix="0" xfId="0"/>
    <xf numFmtId="0" fontId="0" fillId="0" borderId="2" pivotButton="0" quotePrefix="0" xfId="0"/>
    <xf numFmtId="164" fontId="8" fillId="0" borderId="2" applyAlignment="1" pivotButton="0" quotePrefix="0" xfId="0">
      <alignment horizontal="right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165" fontId="8" fillId="0" borderId="2" applyAlignment="1" pivotButton="0" quotePrefix="0" xfId="0">
      <alignment horizontal="center"/>
    </xf>
    <xf numFmtId="0" fontId="8" fillId="0" borderId="0" pivotButton="0" quotePrefix="0" xfId="0"/>
    <xf numFmtId="165" fontId="8" fillId="4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7" fillId="7" borderId="1" applyAlignment="1" pivotButton="0" quotePrefix="0" xfId="0">
      <alignment horizontal="left"/>
    </xf>
    <xf numFmtId="164" fontId="7" fillId="7" borderId="1" applyAlignment="1" pivotButton="0" quotePrefix="0" xfId="0">
      <alignment horizontal="right"/>
    </xf>
    <xf numFmtId="0" fontId="9" fillId="7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0" fontId="7" fillId="8" borderId="1" applyAlignment="1" pivotButton="0" quotePrefix="0" xfId="0">
      <alignment horizontal="left"/>
    </xf>
    <xf numFmtId="164" fontId="7" fillId="8" borderId="1" applyAlignment="1" pivotButton="0" quotePrefix="0" xfId="0">
      <alignment horizontal="right"/>
    </xf>
    <xf numFmtId="0" fontId="9" fillId="8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0" fillId="0" borderId="1" pivotButton="0" quotePrefix="0" xfId="0"/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5" fontId="6" fillId="9" borderId="1" applyAlignment="1" pivotButton="0" quotePrefix="0" xfId="0">
      <alignment horizontal="center"/>
    </xf>
    <xf numFmtId="0" fontId="9" fillId="0" borderId="0" pivotButton="0" quotePrefix="0" xfId="0"/>
    <xf numFmtId="0" fontId="7" fillId="7" borderId="1" applyAlignment="1" pivotButton="0" quotePrefix="0" xfId="0">
      <alignment horizontal="left" wrapText="1"/>
    </xf>
    <xf numFmtId="0" fontId="7" fillId="8" borderId="1" applyAlignment="1" pivotButton="0" quotePrefix="0" xfId="0">
      <alignment horizontal="left" wrapText="1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164" fontId="7" fillId="8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wrapText="1"/>
    </xf>
    <xf numFmtId="0" fontId="7" fillId="8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166" fontId="4" fillId="2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right"/>
    </xf>
    <xf numFmtId="166" fontId="8" fillId="0" borderId="2" applyAlignment="1" pivotButton="0" quotePrefix="0" xfId="0">
      <alignment horizontal="right"/>
    </xf>
    <xf numFmtId="166" fontId="0" fillId="0" borderId="0" pivotButton="0" quotePrefix="0" xfId="0"/>
    <xf numFmtId="165" fontId="7" fillId="0" borderId="1" applyAlignment="1" pivotButton="0" quotePrefix="0" xfId="0">
      <alignment horizontal="center"/>
    </xf>
    <xf numFmtId="165" fontId="8" fillId="0" borderId="2" applyAlignment="1" pivotButton="0" quotePrefix="0" xfId="0">
      <alignment horizontal="center"/>
    </xf>
    <xf numFmtId="166" fontId="7" fillId="7" borderId="1" applyAlignment="1" pivotButton="0" quotePrefix="0" xfId="0">
      <alignment horizontal="right" vertical="center"/>
    </xf>
    <xf numFmtId="166" fontId="7" fillId="8" borderId="1" applyAlignment="1" pivotButton="0" quotePrefix="0" xfId="0">
      <alignment horizontal="right" vertical="center"/>
    </xf>
    <xf numFmtId="166" fontId="0" fillId="0" borderId="2" pivotButton="0" quotePrefix="0" xfId="0"/>
    <xf numFmtId="166" fontId="0" fillId="0" borderId="1" pivotButton="0" quotePrefix="0" xfId="0"/>
    <xf numFmtId="166" fontId="8" fillId="0" borderId="1" applyAlignment="1" pivotButton="0" quotePrefix="0" xfId="0">
      <alignment horizontal="right"/>
    </xf>
    <xf numFmtId="9" fontId="8" fillId="4" borderId="1" applyAlignment="1" pivotButton="0" quotePrefix="0" xfId="0">
      <alignment horizontal="center"/>
    </xf>
    <xf numFmtId="9" fontId="6" fillId="9" borderId="1" applyAlignment="1" pivotButton="0" quotePrefix="0" xfId="0">
      <alignment horizontal="center"/>
    </xf>
    <xf numFmtId="166" fontId="4" fillId="2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right"/>
    </xf>
    <xf numFmtId="166" fontId="8" fillId="0" borderId="2" applyAlignment="1" pivotButton="0" quotePrefix="0" xfId="0">
      <alignment horizontal="right"/>
    </xf>
    <xf numFmtId="166" fontId="0" fillId="0" borderId="0" pivotButton="0" quotePrefix="0" xfId="0"/>
    <xf numFmtId="9" fontId="8" fillId="4" borderId="1" applyAlignment="1" pivotButton="0" quotePrefix="0" xfId="0">
      <alignment horizontal="center"/>
    </xf>
    <xf numFmtId="166" fontId="7" fillId="7" borderId="1" applyAlignment="1" pivotButton="0" quotePrefix="0" xfId="0">
      <alignment horizontal="right" vertical="center"/>
    </xf>
    <xf numFmtId="166" fontId="7" fillId="8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center" vertical="center"/>
    </xf>
    <xf numFmtId="166" fontId="0" fillId="0" borderId="2" pivotButton="0" quotePrefix="0" xfId="0"/>
    <xf numFmtId="166" fontId="0" fillId="0" borderId="1" pivotButton="0" quotePrefix="0" xfId="0"/>
    <xf numFmtId="166" fontId="8" fillId="0" borderId="1" applyAlignment="1" pivotButton="0" quotePrefix="0" xfId="0">
      <alignment horizontal="right"/>
    </xf>
    <xf numFmtId="9" fontId="6" fillId="9" borderId="1" applyAlignment="1" pivotButton="0" quotePrefix="0" xfId="0">
      <alignment horizontal="center"/>
    </xf>
    <xf numFmtId="0" fontId="10" fillId="7" borderId="1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usinainfo.com.br/coolers-para-pc/mini-cooler-5v-25x25mm-para-esc-e-projetos-4408.html" TargetMode="External" Id="rId1"/><Relationship Type="http://schemas.openxmlformats.org/officeDocument/2006/relationships/hyperlink" Target="https://www.usinainfo.com.br/sensor-de-temperatura/ds18b20-sensor-de-temperatura-digital-2806.html" TargetMode="External" Id="rId2"/><Relationship Type="http://schemas.openxmlformats.org/officeDocument/2006/relationships/hyperlink" Target="https://www.usinainfo.com.br/acessorios-raspberry-pi/kit-dissipador-de-calor-autoadesivo-raspberry-pi-3-pi-2-b-e-b-em-aluminio-3-unidades-4428.html" TargetMode="External" Id="rId3"/><Relationship Type="http://schemas.openxmlformats.org/officeDocument/2006/relationships/hyperlink" Target="https://www.usinainfo.com.br/sensor-de-tensao/sensor-de-tensao-dc-0-25v-3425.html" TargetMode="External" Id="rId4"/><Relationship Type="http://schemas.openxmlformats.org/officeDocument/2006/relationships/hyperlink" Target="https://www.usinainfo.com.br/transmissores-e-receptores/antena-esp8266-24ghz-3dbi-esp8266-external-antenna-cabo-pigtail-uflipx1-2mm-com-conector-sma-femea-5259.html" TargetMode="External" Id="rId5"/><Relationship Type="http://schemas.openxmlformats.org/officeDocument/2006/relationships/hyperlink" Target="https://www.usinainfo.com.br/display-arduino/display-oled-096-i2c-128x64-branco-5366.html" TargetMode="External" Id="rId6"/><Relationship Type="http://schemas.openxmlformats.org/officeDocument/2006/relationships/hyperlink" Target="https://www.usinainfo.com.br/display-arduino/display-tft-lcd-13-spi-rgb-240x240-st7789-5607.html" TargetMode="External" Id="rId7"/><Relationship Type="http://schemas.openxmlformats.org/officeDocument/2006/relationships/hyperlink" Target="https://www.usinainfo.com.br/joystick-e-controles-ir/joystick-ky023-3-eixos-2305.html" TargetMode="External" Id="rId8"/><Relationship Type="http://schemas.openxmlformats.org/officeDocument/2006/relationships/hyperlink" Target="https://www.usinainfo.com.br/conversores-de-sinal/conversor-de-nivel-logico-33-5v-bidirecional-cnl35-3741.html" TargetMode="External" Id="rId9"/><Relationship Type="http://schemas.openxmlformats.org/officeDocument/2006/relationships/hyperlink" Target="https://www.usinainfo.com.br/display-arduino/tft-lcd-35-spi-touch-screen-com-slot-sd-8570.html" TargetMode="External" Id="rId10"/><Relationship Type="http://schemas.openxmlformats.org/officeDocument/2006/relationships/hyperlink" Target="https://www.usinainfo.com.br/push-buttons/push-button-chave-tactil-6x6x5-kit-com-5-unidades-2989.html" TargetMode="External" Id="rId1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mercadolivre.com.br/cartao-de-memoria-sandisk-sdsqunr-032g-gn3ma-ultra-com-adaptador-sd-32gb/p/MLB14736452" TargetMode="External" Id="rId1"/><Relationship Type="http://schemas.openxmlformats.org/officeDocument/2006/relationships/hyperlink" Target="https://www.mercadolivre.com.br/kit-10-unidades-de-led-avulso-3w--moeda-estrela-branco-6000k/up/MLBU3658842164" TargetMode="External" Id="rId2"/><Relationship Type="http://schemas.openxmlformats.org/officeDocument/2006/relationships/hyperlink" Target="https://www.mercadolivre.com.br/receiver-dtxmx-flysky-fs-ia6b-24g-6-channels-for-fs-i6/p/MLB2071280071" TargetMode="External" Id="rId3"/><Relationship Type="http://schemas.openxmlformats.org/officeDocument/2006/relationships/hyperlink" Target="https://lista.mercadolivre.com.br/modulo-max98357a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curtocircuito.com.br/modulo-a7608sa-h-4g-lte-antena-fcp.html" TargetMode="External" Id="rId1"/><Relationship Type="http://schemas.openxmlformats.org/officeDocument/2006/relationships/hyperlink" Target="https://www.mercadolivre.com.br/modulo-gsm-a7608sah-4g-lte-com-antena-fcp/up/MLBU231120442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40" customWidth="1" min="3" max="3"/>
    <col width="20" customWidth="1" min="4" max="4"/>
    <col width="20" customWidth="1" min="5" max="5"/>
    <col width="20" customWidth="1" min="6" max="6"/>
    <col width="18" customWidth="1" min="7" max="7"/>
  </cols>
  <sheetData>
    <row r="2">
      <c r="B2" s="1" t="inlineStr">
        <is>
          <t>ROVER ESP32-S3 4WD — PLANEJAMENTO CONSOLIDADO DE COMPRAS</t>
        </is>
      </c>
    </row>
    <row r="3">
      <c r="B3" s="2" t="inlineStr">
        <is>
          <t>Revisado em 13/10/2026. Totais incluem estimativas do ML; compra ainda tem pendências.</t>
        </is>
      </c>
    </row>
    <row r="5">
      <c r="B5" s="3" t="inlineStr">
        <is>
          <t>TOTAL COM ESTIMATIVAS</t>
        </is>
      </c>
      <c r="D5" s="3" t="inlineStr">
        <is>
          <t>À VISTA COM ESTIMATIVAS</t>
        </is>
      </c>
      <c r="F5" s="3" t="inlineStr">
        <is>
          <t>ECONOMIA TOTAL À VISTA</t>
        </is>
      </c>
    </row>
    <row r="6">
      <c r="B6" s="70">
        <f>'UsinaInfo'!F20+'Mercado Livre'!F14+'Curto Circuito'!F10</f>
        <v/>
      </c>
      <c r="D6" s="70">
        <f>'UsinaInfo'!G20+'Mercado Livre'!G14+'Curto Circuito'!G10</f>
        <v/>
      </c>
      <c r="F6" s="70">
        <f>B6-D6</f>
        <v/>
      </c>
    </row>
    <row r="9">
      <c r="B9" s="5" t="inlineStr">
        <is>
          <t>CONSOLIDAÇÃO POR FORNECEDOR / LOJA</t>
        </is>
      </c>
    </row>
    <row r="10">
      <c r="B10" s="6" t="inlineStr">
        <is>
          <t>Loja / Plataforma</t>
        </is>
      </c>
      <c r="C10" s="6" t="inlineStr">
        <is>
          <t>Escopo dos Componentes</t>
        </is>
      </c>
      <c r="D10" s="6" t="inlineStr">
        <is>
          <t>Desconto À Vista</t>
        </is>
      </c>
      <c r="E10" s="6" t="inlineStr">
        <is>
          <t>Subtotal Cartão</t>
        </is>
      </c>
      <c r="F10" s="6" t="inlineStr">
        <is>
          <t>Subtotal Pix/Boleto</t>
        </is>
      </c>
      <c r="G10" s="6" t="inlineStr">
        <is>
          <t>Economia</t>
        </is>
      </c>
    </row>
    <row r="11" ht="42" customHeight="1">
      <c r="B11" s="7" t="inlineStr">
        <is>
          <t>UsinaInfo</t>
        </is>
      </c>
      <c r="C11" s="55" t="inlineStr">
        <is>
          <t>Bancada térmica, telemetria, antena 3dBi, display e controle</t>
        </is>
      </c>
      <c r="D11" s="61">
        <f>'UsinaInfo'!D5</f>
        <v/>
      </c>
      <c r="E11" s="71">
        <f>'UsinaInfo'!F20</f>
        <v/>
      </c>
      <c r="F11" s="71">
        <f>'UsinaInfo'!G20</f>
        <v/>
      </c>
      <c r="G11" s="71">
        <f>E11-F11</f>
        <v/>
      </c>
    </row>
    <row r="12" ht="42" customHeight="1">
      <c r="B12" s="7" t="inlineStr">
        <is>
          <t>Mercado Livre</t>
        </is>
      </c>
      <c r="C12" s="55" t="inlineStr">
        <is>
          <t>microSD, LEDs e receptor: recotar Full; valores estimados</t>
        </is>
      </c>
      <c r="D12" s="61">
        <f>'Mercado Livre'!D5</f>
        <v/>
      </c>
      <c r="E12" s="71">
        <f>'Mercado Livre'!F14</f>
        <v/>
      </c>
      <c r="F12" s="71">
        <f>'Mercado Livre'!G14</f>
        <v/>
      </c>
      <c r="G12" s="71">
        <f>E12-F12</f>
        <v/>
      </c>
    </row>
    <row r="13" ht="42" customHeight="1">
      <c r="B13" s="7" t="inlineStr">
        <is>
          <t>Curto Circuito</t>
        </is>
      </c>
      <c r="C13" s="55" t="inlineStr">
        <is>
          <t>Módulo 4G LTE Cat-4 A7608SA-H (teleoperação remota)</t>
        </is>
      </c>
      <c r="D13" s="61">
        <f>'Curto Circuito'!D5</f>
        <v/>
      </c>
      <c r="E13" s="71">
        <f>'Curto Circuito'!F10</f>
        <v/>
      </c>
      <c r="F13" s="71">
        <f>'Curto Circuito'!G10</f>
        <v/>
      </c>
      <c r="G13" s="71">
        <f>E13-F13</f>
        <v/>
      </c>
    </row>
    <row r="14">
      <c r="B14" s="10" t="inlineStr">
        <is>
          <t>Total Consolidado</t>
        </is>
      </c>
      <c r="C14" s="11" t="n"/>
      <c r="D14" s="11" t="n"/>
      <c r="E14" s="72">
        <f>SUM(E11:E13)</f>
        <v/>
      </c>
      <c r="F14" s="72">
        <f>SUM(F11:F13)</f>
        <v/>
      </c>
      <c r="G14" s="72">
        <f>SUM(G11:G13)</f>
        <v/>
      </c>
    </row>
    <row r="17">
      <c r="B17" s="5" t="inlineStr">
        <is>
          <t>INVESTIMENTO POR CATEGORIA DE PRIORIDADE</t>
        </is>
      </c>
    </row>
    <row r="18">
      <c r="B18" s="13" t="inlineStr">
        <is>
          <t>Prioridade</t>
        </is>
      </c>
      <c r="C18" s="13" t="inlineStr">
        <is>
          <t>Objetivo / Abrangência</t>
        </is>
      </c>
      <c r="D18" s="13" t="inlineStr">
        <is>
          <t>Total Cartão</t>
        </is>
      </c>
      <c r="E18" s="13" t="inlineStr">
        <is>
          <t>Total Pix/Boleto</t>
        </is>
      </c>
      <c r="F18" s="13" t="inlineStr">
        <is>
          <t>Participação</t>
        </is>
      </c>
    </row>
    <row r="19" ht="42" customHeight="1">
      <c r="B19" s="14" t="inlineStr">
        <is>
          <t>Alta</t>
        </is>
      </c>
      <c r="C19" s="55" t="inlineStr">
        <is>
          <t>Térmica, tensão, antena condicional e 4G futuro</t>
        </is>
      </c>
      <c r="D19" s="71">
        <f>SUMIF(UsinaInfo!I8:I18,"Alta",UsinaInfo!F8:F18)+SUMIF('Mercado Livre'!I8:I11,"Alta",'Mercado Livre'!F8:F11)+SUMIF('Curto Circuito'!I8:I8,"Alta",'Curto Circuito'!F8:F8)</f>
        <v/>
      </c>
      <c r="E19" s="71">
        <f>SUMIF(UsinaInfo!I8:I18,"Alta",UsinaInfo!G8:G18)+SUMIF('Mercado Livre'!I8:I11,"Alta",'Mercado Livre'!G8:G11)+SUMIF('Curto Circuito'!I8:I8,"Alta",'Curto Circuito'!G8:G8)</f>
        <v/>
      </c>
      <c r="F19" s="61">
        <f>IF($B$6=0,"",D19/$B$6)</f>
        <v/>
      </c>
    </row>
    <row r="20" ht="42" customHeight="1">
      <c r="B20" s="15" t="inlineStr">
        <is>
          <t>Média</t>
        </is>
      </c>
      <c r="C20" s="55" t="inlineStr">
        <is>
          <t>Display OLED de bateria (UsinaInfo)</t>
        </is>
      </c>
      <c r="D20" s="71">
        <f>SUMIF(UsinaInfo!I8:I18,"Média",UsinaInfo!F8:F18)+SUMIF('Mercado Livre'!I8:I11,"Média",'Mercado Livre'!F8:F11)+SUMIF('Curto Circuito'!I8:I8,"Média",'Curto Circuito'!F8:F8)</f>
        <v/>
      </c>
      <c r="E20" s="71">
        <f>SUMIF(UsinaInfo!I8:I18,"Média",UsinaInfo!G8:G18)+SUMIF('Mercado Livre'!I8:I11,"Média",'Mercado Livre'!G8:G11)+SUMIF('Curto Circuito'!I8:I8,"Média",'Curto Circuito'!G8:G8)</f>
        <v/>
      </c>
      <c r="F20" s="61">
        <f>IF($B$6=0,"",D20/$B$6)</f>
        <v/>
      </c>
    </row>
    <row r="21" ht="42" customHeight="1">
      <c r="B21" s="16" t="inlineStr">
        <is>
          <t>Baixa</t>
        </is>
      </c>
      <c r="C21" s="55" t="inlineStr">
        <is>
          <t>Controle futuro + itens ML ainda estimados</t>
        </is>
      </c>
      <c r="D21" s="71">
        <f>SUMIF(UsinaInfo!I8:I18,"Baixa",UsinaInfo!F8:F18)+SUMIF('Mercado Livre'!I8:I11,"Baixa",'Mercado Livre'!F8:F11)+SUMIF('Curto Circuito'!I8:I8,"Baixa",'Curto Circuito'!F8:F8)</f>
        <v/>
      </c>
      <c r="E21" s="71">
        <f>SUMIF(UsinaInfo!I8:I18,"Baixa",UsinaInfo!G8:G18)+SUMIF('Mercado Livre'!I8:I11,"Baixa",'Mercado Livre'!G8:G11)+SUMIF('Curto Circuito'!I8:I8,"Baixa",'Curto Circuito'!G8:G8)</f>
        <v/>
      </c>
      <c r="F21" s="61">
        <f>IF($B$6=0,"",D21/$B$6)</f>
        <v/>
      </c>
    </row>
    <row r="22">
      <c r="B22" s="10" t="inlineStr">
        <is>
          <t>Total Consolidado</t>
        </is>
      </c>
      <c r="C22" s="11" t="n"/>
      <c r="D22" s="72">
        <f>SUM(D19:D21)</f>
        <v/>
      </c>
      <c r="E22" s="72">
        <f>SUM(E19:E21)</f>
        <v/>
      </c>
      <c r="F22" s="62">
        <f>SUM(F19:F21)</f>
        <v/>
      </c>
    </row>
    <row r="24" ht="56" customHeight="1">
      <c r="B24" t="inlineStr">
        <is>
          <t>Compra pendente</t>
        </is>
      </c>
      <c r="C24" s="56" t="inlineStr">
        <is>
          <t>3 anúncios ML sem Full confirmado. Antena e receptor dependem do modelo da placa/rádio.</t>
        </is>
      </c>
    </row>
    <row r="25" ht="56" customHeight="1">
      <c r="B25" t="inlineStr">
        <is>
          <t>Conjunto incompleto</t>
        </is>
      </c>
      <c r="C25" s="56" t="inlineStr">
        <is>
          <t>Farol sem limitador/acionamento/dissipação. Controle precisa de microcontrolador. Thermal pad não cotado.</t>
        </is>
      </c>
    </row>
    <row r="26" ht="56" customHeight="1">
      <c r="B26" t="inlineStr">
        <is>
          <t>4G / bancada</t>
        </is>
      </c>
      <c r="C26" s="56" t="inlineStr">
        <is>
          <t>Alimentação, interface, vídeo e encaixe do módulo ainda precisam de validação. Fretes e plano não incluídos.</t>
        </is>
      </c>
    </row>
    <row r="27">
      <c r="B27" t="inlineStr">
        <is>
          <t>Subtotal lojas diretas</t>
        </is>
      </c>
      <c r="E27" s="73">
        <f>SUM(E11,E13)</f>
        <v/>
      </c>
      <c r="F27" s="73">
        <f>SUM(F11,F13)</f>
        <v/>
      </c>
    </row>
  </sheetData>
  <mergeCells count="2">
    <mergeCell ref="B17:F17"/>
    <mergeCell ref="B9:G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K2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8" customWidth="1" min="3" max="3"/>
    <col width="8" customWidth="1" min="4" max="4"/>
    <col width="15" customWidth="1" min="5" max="5"/>
    <col width="17" customWidth="1" min="6" max="6"/>
    <col width="20" customWidth="1" min="7" max="7"/>
    <col width="16" customWidth="1" min="8" max="8"/>
    <col width="13" customWidth="1" min="9" max="9"/>
    <col width="14" customWidth="1" min="10" max="10"/>
    <col width="48" customWidth="1" min="11" max="11"/>
  </cols>
  <sheetData>
    <row r="2">
      <c r="B2" s="1" t="inlineStr">
        <is>
          <t>USINAINFO — COMPONENTES DE BANCADA, SENSORES &amp; CONTROLE</t>
        </is>
      </c>
    </row>
    <row r="3">
      <c r="B3" s="2" t="inlineStr">
        <is>
          <t>Preços consultados em 13/10/2026. Montagem e compatibilidade ainda dependem de bancada.</t>
        </is>
      </c>
    </row>
    <row r="5">
      <c r="B5" s="18" t="inlineStr">
        <is>
          <t>Desconto Boleto / Pix:</t>
        </is>
      </c>
      <c r="D5" s="74" t="n">
        <v>0.05</v>
      </c>
      <c r="E5" s="2" t="inlineStr">
        <is>
          <t>(editável)</t>
        </is>
      </c>
    </row>
    <row r="7">
      <c r="B7" s="6" t="inlineStr">
        <is>
          <t>Código</t>
        </is>
      </c>
      <c r="C7" s="6" t="inlineStr">
        <is>
          <t>Produto</t>
        </is>
      </c>
      <c r="D7" s="6" t="inlineStr">
        <is>
          <t>Qtd</t>
        </is>
      </c>
      <c r="E7" s="6" t="inlineStr">
        <is>
          <t>Unit. Cartão</t>
        </is>
      </c>
      <c r="F7" s="6" t="inlineStr">
        <is>
          <t>Subtotal Cartão</t>
        </is>
      </c>
      <c r="G7" s="6" t="inlineStr">
        <is>
          <t>À Vista (Pix/Boleto)</t>
        </is>
      </c>
      <c r="H7" s="6" t="inlineStr">
        <is>
          <t>Link do Produto</t>
        </is>
      </c>
      <c r="I7" s="6" t="inlineStr">
        <is>
          <t>Prioridade</t>
        </is>
      </c>
      <c r="J7" s="6" t="inlineStr">
        <is>
          <t>Situação</t>
        </is>
      </c>
      <c r="K7" s="6" t="inlineStr">
        <is>
          <t>Uso / Compatibilidade Técnica</t>
        </is>
      </c>
    </row>
    <row r="8" ht="46" customHeight="1">
      <c r="B8" s="38" t="inlineStr">
        <is>
          <t>07459</t>
        </is>
      </c>
      <c r="C8" s="39" t="inlineStr">
        <is>
          <t>Mini ventoinha 5V 25 × 25 × 10 mm</t>
        </is>
      </c>
      <c r="D8" s="38" t="n">
        <v>1</v>
      </c>
      <c r="E8" s="75" t="n">
        <v>16.97</v>
      </c>
      <c r="F8" s="75">
        <f>ROUND(D8*E8,2)</f>
        <v/>
      </c>
      <c r="G8" s="75">
        <f>ROUND(F8*(1-$D$5),2)</f>
        <v/>
      </c>
      <c r="H8" s="41" t="inlineStr">
        <is>
          <t>Abrir produto</t>
        </is>
      </c>
      <c r="I8" s="42" t="inlineStr">
        <is>
          <t>Alta</t>
        </is>
      </c>
      <c r="J8" s="51" t="inlineStr">
        <is>
          <t>Em estoque</t>
        </is>
      </c>
      <c r="K8" s="43" t="inlineStr">
        <is>
          <t>5 V, 30–60 mA. Prever entrada/saída de ar. Ficha cita 25×25×10 mm; fotos mostram 7 mm: confirmar espessura.</t>
        </is>
      </c>
    </row>
    <row r="9" ht="46" customHeight="1">
      <c r="B9" s="44" t="inlineStr">
        <is>
          <t>06077</t>
        </is>
      </c>
      <c r="C9" s="45" t="inlineStr">
        <is>
          <t>DS18B20 — sensor de temperatura digital</t>
        </is>
      </c>
      <c r="D9" s="44" t="n">
        <v>2</v>
      </c>
      <c r="E9" s="76" t="n">
        <v>15.34</v>
      </c>
      <c r="F9" s="76">
        <f>ROUND(D9*E9,2)</f>
        <v/>
      </c>
      <c r="G9" s="76">
        <f>ROUND(F9*(1-$D$5),2)</f>
        <v/>
      </c>
      <c r="H9" s="47" t="inlineStr">
        <is>
          <t>Abrir produto</t>
        </is>
      </c>
      <c r="I9" s="42" t="inlineStr">
        <is>
          <t>Alta</t>
        </is>
      </c>
      <c r="J9" s="52" t="inlineStr">
        <is>
          <t>Em estoque</t>
        </is>
      </c>
      <c r="K9" s="48" t="inlineStr">
        <is>
          <t>Componente avulso. Prever pull-up 4,7 kΩ e isolamento. Medir região quente da câmera e ambiente; não mede a junção.</t>
        </is>
      </c>
    </row>
    <row r="10" ht="46" customHeight="1">
      <c r="B10" s="38" t="inlineStr">
        <is>
          <t>07479</t>
        </is>
      </c>
      <c r="C10" s="39" t="inlineStr">
        <is>
          <t>Kit de 3 dissipadores autoadesivos</t>
        </is>
      </c>
      <c r="D10" s="38" t="n">
        <v>1</v>
      </c>
      <c r="E10" s="75" t="n">
        <v>3.6</v>
      </c>
      <c r="F10" s="75">
        <f>ROUND(D10*E10,2)</f>
        <v/>
      </c>
      <c r="G10" s="75">
        <f>ROUND(F10*(1-$D$5),2)</f>
        <v/>
      </c>
      <c r="H10" s="41" t="inlineStr">
        <is>
          <t>Abrir produto</t>
        </is>
      </c>
      <c r="I10" s="42" t="inlineStr">
        <is>
          <t>Alta</t>
        </is>
      </c>
      <c r="J10" s="51" t="inlineStr">
        <is>
          <t>Em estoque</t>
        </is>
      </c>
      <c r="K10" s="43" t="inlineStr">
        <is>
          <t>3 peças por kit. Confirmar dimensões, contato térmico e isolamento. Não garante resfriamento da OV5640.</t>
        </is>
      </c>
    </row>
    <row r="11" ht="46" customHeight="1">
      <c r="B11" s="44" t="inlineStr">
        <is>
          <t>06731</t>
        </is>
      </c>
      <c r="C11" s="45" t="inlineStr">
        <is>
          <t>Sensor de tensão DC 0–25 V (divisor 5:1)</t>
        </is>
      </c>
      <c r="D11" s="44" t="n">
        <v>1</v>
      </c>
      <c r="E11" s="76" t="n">
        <v>4.95</v>
      </c>
      <c r="F11" s="76">
        <f>ROUND(D11*E11,2)</f>
        <v/>
      </c>
      <c r="G11" s="76">
        <f>ROUND(F11*(1-$D$5),2)</f>
        <v/>
      </c>
      <c r="H11" s="47" t="inlineStr">
        <is>
          <t>Abrir produto</t>
        </is>
      </c>
      <c r="I11" s="42" t="inlineStr">
        <is>
          <t>Alta</t>
        </is>
      </c>
      <c r="J11" s="52" t="inlineStr">
        <is>
          <t>Em estoque</t>
        </is>
      </c>
      <c r="K11" s="48" t="inlineStr">
        <is>
          <t>Divisor 5:1 para A0 do Nano. Alternativa ao divisor já documentado. Calibrar; tensão não fornece % exata de carga.</t>
        </is>
      </c>
    </row>
    <row r="12" ht="46" customHeight="1">
      <c r="B12" s="38" t="inlineStr">
        <is>
          <t>08359</t>
        </is>
      </c>
      <c r="C12" s="39" t="inlineStr">
        <is>
          <t>Kit Antena Wi-Fi 2,4GHz 3dBi + Cabo Pigtail U.FL (IPEX1) para SMA Fêmea</t>
        </is>
      </c>
      <c r="D12" s="38" t="n">
        <v>1</v>
      </c>
      <c r="E12" s="75" t="n">
        <v>11.8</v>
      </c>
      <c r="F12" s="75">
        <f>ROUND(D12*E12,2)</f>
        <v/>
      </c>
      <c r="G12" s="75">
        <f>ROUND(F12*(1-$D$5),2)</f>
        <v/>
      </c>
      <c r="H12" s="41" t="inlineStr">
        <is>
          <t>Abrir produto</t>
        </is>
      </c>
      <c r="I12" s="42" t="inlineStr">
        <is>
          <t>Alta</t>
        </is>
      </c>
      <c r="J12" s="51" t="inlineStr">
        <is>
          <t>Compatibilidade pendente</t>
        </is>
      </c>
      <c r="K12" s="43" t="inlineStr">
        <is>
          <t>Kit completo: inclui a antena de 3dBi e o cabo adaptador Pigtail U.FL para rosca SMA fêmea.</t>
        </is>
      </c>
    </row>
    <row r="13" ht="46" customHeight="1">
      <c r="B13" s="44" t="inlineStr">
        <is>
          <t>08483</t>
        </is>
      </c>
      <c r="C13" s="45" t="inlineStr">
        <is>
          <t>Display OLED 0,96” I²C 128×64 (SSD1306)</t>
        </is>
      </c>
      <c r="D13" s="44" t="n">
        <v>1</v>
      </c>
      <c r="E13" s="76" t="n">
        <v>24.3</v>
      </c>
      <c r="F13" s="76">
        <f>ROUND(D13*E13,2)</f>
        <v/>
      </c>
      <c r="G13" s="76">
        <f>ROUND(F13*(1-$D$5),2)</f>
        <v/>
      </c>
      <c r="H13" s="47" t="inlineStr">
        <is>
          <t>Abrir produto</t>
        </is>
      </c>
      <c r="I13" s="49" t="inlineStr">
        <is>
          <t>Média</t>
        </is>
      </c>
      <c r="J13" s="52" t="inlineStr">
        <is>
          <t>Em estoque</t>
        </is>
      </c>
      <c r="K13" s="48" t="inlineStr">
        <is>
          <t>Nano: A4/A5. Conferir disponibilidade. SSD1306 com framebuffer usa 1 kB; preferir buffer de página U8g2 (U8g2 não é sempre leve).</t>
        </is>
      </c>
    </row>
    <row r="14" ht="46" customHeight="1">
      <c r="B14" s="38" t="inlineStr">
        <is>
          <t>08712</t>
        </is>
      </c>
      <c r="C14" s="39" t="inlineStr">
        <is>
          <t>Display TFT 1,3” ST7789 SPI 240×240</t>
        </is>
      </c>
      <c r="D14" s="38" t="n">
        <v>1</v>
      </c>
      <c r="E14" s="75" t="n">
        <v>34.7</v>
      </c>
      <c r="F14" s="75">
        <f>ROUND(D14*E14,2)</f>
        <v/>
      </c>
      <c r="G14" s="75">
        <f>ROUND(F14*(1-$D$5),2)</f>
        <v/>
      </c>
      <c r="H14" s="41" t="inlineStr">
        <is>
          <t>Abrir produto</t>
        </is>
      </c>
      <c r="I14" s="50" t="inlineStr">
        <is>
          <t>Baixa</t>
        </is>
      </c>
      <c r="J14" s="51" t="inlineStr">
        <is>
          <t>Em estoque</t>
        </is>
      </c>
      <c r="K14" s="43" t="inlineStr">
        <is>
          <t>Controle futuro. Precisa de microcontrolador disponível no laboratório; TFT sozinho não recebe vídeo nem envia comandos.</t>
        </is>
      </c>
    </row>
    <row r="15" ht="46" customHeight="1">
      <c r="B15" s="44" t="inlineStr">
        <is>
          <t>05623</t>
        </is>
      </c>
      <c r="C15" s="45" t="inlineStr">
        <is>
          <t>Joystick analógico KY-023 / HW-504</t>
        </is>
      </c>
      <c r="D15" s="44" t="n">
        <v>2</v>
      </c>
      <c r="E15" s="76" t="n">
        <v>5.95</v>
      </c>
      <c r="F15" s="76">
        <f>ROUND(D15*E15,2)</f>
        <v/>
      </c>
      <c r="G15" s="76">
        <f>ROUND(F15*(1-$D$5),2)</f>
        <v/>
      </c>
      <c r="H15" s="47" t="inlineStr">
        <is>
          <t>Abrir produto</t>
        </is>
      </c>
      <c r="I15" s="50" t="inlineStr">
        <is>
          <t>Baixa</t>
        </is>
      </c>
      <c r="J15" s="52" t="inlineStr">
        <is>
          <t>Em estoque</t>
        </is>
      </c>
      <c r="K15" s="48" t="inlineStr">
        <is>
          <t>Dois joysticks, cada um com dois eixos + botão. No ESP alimentar em 3,3 V; não conectar saídas 5 V ao ADC.</t>
        </is>
      </c>
    </row>
    <row r="16">
      <c r="B16" s="44" t="inlineStr">
        <is>
          <t>03741</t>
        </is>
      </c>
      <c r="C16" s="45" t="inlineStr">
        <is>
          <t>Conversor de nível lógico 3,3V / 5V bidirecional — CNL35</t>
        </is>
      </c>
      <c r="D16" s="44" t="n">
        <v>1</v>
      </c>
      <c r="E16" s="76" t="n">
        <v>7.5</v>
      </c>
      <c r="F16" s="76">
        <f>ROUND(D16*E16,2)</f>
        <v/>
      </c>
      <c r="G16" s="76">
        <f>ROUND(F16*(1-$D$5),2)</f>
        <v/>
      </c>
      <c r="H16" s="77" t="inlineStr">
        <is>
          <t>Abrir produto</t>
        </is>
      </c>
      <c r="I16" s="50" t="inlineStr">
        <is>
          <t>Alta</t>
        </is>
      </c>
      <c r="J16" s="52" t="inlineStr">
        <is>
          <t>Em estoque</t>
        </is>
      </c>
      <c r="K16" s="48" t="inlineStr">
        <is>
          <t>Adaptação 3,3 V (ESP32) ⇄ 5 V (Nano) para UART nativa a 115200 baud, eliminando o transistor BC337.</t>
        </is>
      </c>
    </row>
    <row r="17">
      <c r="B17" s="44" t="inlineStr">
        <is>
          <t>09989</t>
        </is>
      </c>
      <c r="C17" s="45" t="inlineStr">
        <is>
          <t>Display TFT LCD 3,5" SPI Touch Screen com Slot SD (ILI9488)</t>
        </is>
      </c>
      <c r="D17" s="44" t="n">
        <v>1</v>
      </c>
      <c r="E17" s="76" t="n">
        <v>119.6</v>
      </c>
      <c r="F17" s="76">
        <f>ROUND(D17*E17,2)</f>
        <v/>
      </c>
      <c r="G17" s="76">
        <f>ROUND(F17*(1-$D$5),2)</f>
        <v/>
      </c>
      <c r="H17" s="77" t="inlineStr">
        <is>
          <t>Abrir produto</t>
        </is>
      </c>
      <c r="I17" s="50" t="inlineStr">
        <is>
          <t>Alta</t>
        </is>
      </c>
      <c r="J17" s="52" t="inlineStr">
        <is>
          <t>Em estoque</t>
        </is>
      </c>
      <c r="K17" s="48" t="inlineStr">
        <is>
          <t>Display grande 480x320 com touch screen (XPT2046) e slot MicroSD, lógica nativa 3,3 V via SPI.</t>
        </is>
      </c>
    </row>
    <row r="18">
      <c r="B18" s="44" t="inlineStr">
        <is>
          <t>02989</t>
        </is>
      </c>
      <c r="C18" s="45" t="inlineStr">
        <is>
          <t>Push Button Chave Táctil 6x6x5mm (2x Kits com 5 un = 10 botões)</t>
        </is>
      </c>
      <c r="D18" s="44" t="n">
        <v>2</v>
      </c>
      <c r="E18" s="76" t="n">
        <v>2.46</v>
      </c>
      <c r="F18" s="76">
        <f>ROUND(D18*E18,2)</f>
        <v/>
      </c>
      <c r="G18" s="76">
        <f>ROUND(F18*(1-$D$5),2)</f>
        <v/>
      </c>
      <c r="H18" s="77" t="inlineStr">
        <is>
          <t>Abrir produto</t>
        </is>
      </c>
      <c r="I18" s="50" t="inlineStr">
        <is>
          <t>Alta</t>
        </is>
      </c>
      <c r="J18" s="52" t="inlineStr">
        <is>
          <t>Em estoque</t>
        </is>
      </c>
      <c r="K18" s="48" t="inlineStr">
        <is>
          <t>10 chaves tácteis momentâneas para comandos físicos, reset, calibração e botões de interface.</t>
        </is>
      </c>
    </row>
    <row r="19">
      <c r="E19" s="73" t="n"/>
      <c r="F19" s="73" t="n"/>
      <c r="G19" s="73" t="n"/>
    </row>
    <row r="20">
      <c r="B20" s="11" t="n"/>
      <c r="C20" s="10" t="inlineStr">
        <is>
          <t>Total dos itens cotados (UsinaInfo)</t>
        </is>
      </c>
      <c r="D20" s="11" t="n"/>
      <c r="E20" s="78" t="n"/>
      <c r="F20" s="72">
        <f>SUM(F8:F18)</f>
        <v/>
      </c>
      <c r="G20" s="72">
        <f>SUM(G8:G18)</f>
        <v/>
      </c>
      <c r="H20" s="11" t="n"/>
      <c r="I20" s="11" t="n"/>
      <c r="J20" s="11" t="n"/>
      <c r="K20" s="11" t="n"/>
    </row>
    <row r="21">
      <c r="B21" s="31" t="n"/>
      <c r="C21" s="32" t="inlineStr">
        <is>
          <t>Subtotal Prioridade Alta (cotados)</t>
        </is>
      </c>
      <c r="D21" s="31" t="n"/>
      <c r="E21" s="79" t="n"/>
      <c r="F21" s="80">
        <f>SUMIF(I8:I18,"Alta",F8:F18)</f>
        <v/>
      </c>
      <c r="G21" s="80">
        <f>SUMIF(I8:I18,"Alta",G8:G18)</f>
        <v/>
      </c>
      <c r="H21" s="31" t="n"/>
      <c r="I21" s="31" t="n"/>
      <c r="J21" s="31" t="n"/>
      <c r="K21" s="31" t="n"/>
    </row>
    <row r="22">
      <c r="B22" s="31" t="n"/>
      <c r="C22" s="32" t="inlineStr">
        <is>
          <t>Subtotal Prioridade Média (cotados)</t>
        </is>
      </c>
      <c r="D22" s="31" t="n"/>
      <c r="E22" s="79" t="n"/>
      <c r="F22" s="80">
        <f>SUMIF(I8:I18,"Média",F8:F18)</f>
        <v/>
      </c>
      <c r="G22" s="80">
        <f>SUMIF(I8:I18,"Média",G8:G18)</f>
        <v/>
      </c>
      <c r="H22" s="31" t="n"/>
      <c r="I22" s="31" t="n"/>
      <c r="J22" s="31" t="n"/>
      <c r="K22" s="31" t="n"/>
    </row>
    <row r="23">
      <c r="B23" s="31" t="n"/>
      <c r="C23" s="32" t="inlineStr">
        <is>
          <t>Subtotal Prioridade Baixa (cotados)</t>
        </is>
      </c>
      <c r="D23" s="31" t="n"/>
      <c r="E23" s="79" t="n"/>
      <c r="F23" s="80">
        <f>SUMIF(I8:I18,"Baixa",F8:F18)</f>
        <v/>
      </c>
      <c r="G23" s="80">
        <f>SUMIF(I8:I18,"Baixa",G8:G18)</f>
        <v/>
      </c>
      <c r="H23" s="31" t="n"/>
      <c r="I23" s="31" t="n"/>
      <c r="J23" s="31" t="n"/>
      <c r="K23" s="31" t="n"/>
    </row>
    <row r="24"/>
    <row r="25">
      <c r="B25" s="18" t="inlineStr">
        <is>
          <t>Notas e Observações:</t>
        </is>
      </c>
    </row>
    <row r="26">
      <c r="B26" s="2" t="inlineStr">
        <is>
          <t>• ¹ Desconto à vista de 5% configurável na célula D5. Fretes não inclusos.</t>
        </is>
      </c>
    </row>
    <row r="27">
      <c r="B27" s="2" t="inlineStr">
        <is>
          <t>Preços dos 8 itens conferidos; sensor DC: valor consultado nesta sessão. Estoque pode mudar.</t>
        </is>
      </c>
    </row>
    <row r="28">
      <c r="B28" s="2" t="inlineStr">
        <is>
          <t>W5500 e ESP auxiliar ausentes nesta versão; controle futuro precisa de placa disponível no laboratório.</t>
        </is>
      </c>
    </row>
    <row r="29">
      <c r="B29" t="inlineStr">
        <is>
          <t>Thermal pad não consta nesta lista. Verificar espessura e área de contato antes de cotar.</t>
        </is>
      </c>
    </row>
  </sheetData>
  <dataValidations count="1">
    <dataValidation sqref="I8:I18" showDropDown="0" showInputMessage="0" showErrorMessage="0" allowBlank="0" type="list">
      <formula1>"Alta,Média,Baixa"</formula1>
    </dataValidation>
  </dataValidations>
  <hyperlinks>
    <hyperlink xmlns:r="http://schemas.openxmlformats.org/officeDocument/2006/relationships" ref="H8" r:id="rId1"/>
    <hyperlink xmlns:r="http://schemas.openxmlformats.org/officeDocument/2006/relationships" ref="H9" r:id="rId2"/>
    <hyperlink xmlns:r="http://schemas.openxmlformats.org/officeDocument/2006/relationships" ref="H10" r:id="rId3"/>
    <hyperlink xmlns:r="http://schemas.openxmlformats.org/officeDocument/2006/relationships" ref="H11" r:id="rId4"/>
    <hyperlink xmlns:r="http://schemas.openxmlformats.org/officeDocument/2006/relationships" ref="H12" r:id="rId5"/>
    <hyperlink xmlns:r="http://schemas.openxmlformats.org/officeDocument/2006/relationships" ref="H13" r:id="rId6"/>
    <hyperlink xmlns:r="http://schemas.openxmlformats.org/officeDocument/2006/relationships" ref="H14" r:id="rId7"/>
    <hyperlink xmlns:r="http://schemas.openxmlformats.org/officeDocument/2006/relationships" ref="H15" r:id="rId8"/>
    <hyperlink xmlns:r="http://schemas.openxmlformats.org/officeDocument/2006/relationships" ref="H16" r:id="rId9"/>
    <hyperlink xmlns:r="http://schemas.openxmlformats.org/officeDocument/2006/relationships" ref="H17" r:id="rId10"/>
    <hyperlink xmlns:r="http://schemas.openxmlformats.org/officeDocument/2006/relationships" ref="H18" r:id="rId1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42" customWidth="1" min="3" max="3"/>
    <col width="8" customWidth="1" min="4" max="4"/>
    <col width="15" customWidth="1" min="5" max="5"/>
    <col width="17" customWidth="1" min="6" max="6"/>
    <col width="20" customWidth="1" min="7" max="7"/>
    <col width="18" customWidth="1" min="8" max="8"/>
    <col width="13" customWidth="1" min="9" max="9"/>
    <col width="16" customWidth="1" min="10" max="10"/>
    <col width="52" customWidth="1" min="11" max="11"/>
  </cols>
  <sheetData>
    <row r="2">
      <c r="B2" s="1" t="inlineStr">
        <is>
          <t>MERCADO LIVRE — COMPONENTES DE EXPANSÃO (PRIORIDADE BAIXA)</t>
        </is>
      </c>
    </row>
    <row r="3">
      <c r="B3" s="2" t="inlineStr">
        <is>
          <t>Ofertas ainda a recotar com vendedor e item específicos. Links atuais não comprovam Full.</t>
        </is>
      </c>
    </row>
    <row r="5">
      <c r="B5" s="18" t="inlineStr">
        <is>
          <t>Desconto Boleto / Pix:</t>
        </is>
      </c>
      <c r="D5" s="81" t="n">
        <v>0</v>
      </c>
      <c r="E5" s="2" t="inlineStr">
        <is>
          <t>(Preço padrão cartão/Pix)</t>
        </is>
      </c>
    </row>
    <row r="7">
      <c r="B7" s="6" t="inlineStr">
        <is>
          <t>Código</t>
        </is>
      </c>
      <c r="C7" s="6" t="inlineStr">
        <is>
          <t>Produto</t>
        </is>
      </c>
      <c r="D7" s="6" t="inlineStr">
        <is>
          <t>Qtd</t>
        </is>
      </c>
      <c r="E7" s="6" t="inlineStr">
        <is>
          <t>Unit. estimado</t>
        </is>
      </c>
      <c r="F7" s="6" t="inlineStr">
        <is>
          <t>Subtotal Cartão</t>
        </is>
      </c>
      <c r="G7" s="6" t="inlineStr">
        <is>
          <t>À Vista (Pix/Boleto)</t>
        </is>
      </c>
      <c r="H7" s="6" t="inlineStr">
        <is>
          <t>Link do Produto</t>
        </is>
      </c>
      <c r="I7" s="6" t="inlineStr">
        <is>
          <t>Prioridade</t>
        </is>
      </c>
      <c r="J7" s="6" t="inlineStr">
        <is>
          <t>Situação</t>
        </is>
      </c>
      <c r="K7" s="6" t="inlineStr">
        <is>
          <t>Uso / Compatibilidade Técnica</t>
        </is>
      </c>
    </row>
    <row r="8" ht="55" customHeight="1">
      <c r="B8" s="38" t="inlineStr">
        <is>
          <t>ML-SD32</t>
        </is>
      </c>
      <c r="C8" s="39" t="inlineStr">
        <is>
          <t>Cartão microSD SanDisk Ultra 32GB Classe 10 + Adaptador</t>
        </is>
      </c>
      <c r="D8" s="38" t="n">
        <v>1</v>
      </c>
      <c r="E8" s="75" t="n">
        <v>44.9</v>
      </c>
      <c r="F8" s="75">
        <f>ROUND(D8*E8,2)</f>
        <v/>
      </c>
      <c r="G8" s="75">
        <f>ROUND(F8*(1-$D$5),2)</f>
        <v/>
      </c>
      <c r="H8" s="41" t="inlineStr">
        <is>
          <t>Revisar anúncio</t>
        </is>
      </c>
      <c r="I8" s="50" t="inlineStr">
        <is>
          <t>Baixa</t>
        </is>
      </c>
      <c r="J8" s="51" t="inlineStr">
        <is>
          <t>A recotar Full</t>
        </is>
      </c>
      <c r="K8" s="43" t="inlineStr">
        <is>
          <t>R$44,90 não confirmado. Link abriu a R$59 sem Full. Confirmar slot/firmware SD; gravação contínua não implementada/validada.</t>
        </is>
      </c>
    </row>
    <row r="9" ht="55" customHeight="1">
      <c r="B9" s="44" t="inlineStr">
        <is>
          <t>ML-LED3W</t>
        </is>
      </c>
      <c r="C9" s="45" t="inlineStr">
        <is>
          <t>Kit 10x LEDs 3W Branco Frio 6000K c/ Base Estrela</t>
        </is>
      </c>
      <c r="D9" s="44" t="n">
        <v>1</v>
      </c>
      <c r="E9" s="76" t="n">
        <v>29.9</v>
      </c>
      <c r="F9" s="76">
        <f>ROUND(D9*E9,2)</f>
        <v/>
      </c>
      <c r="G9" s="76">
        <f>ROUND(F9*(1-$D$5),2)</f>
        <v/>
      </c>
      <c r="H9" s="47" t="inlineStr">
        <is>
          <t>Revisar anúncio</t>
        </is>
      </c>
      <c r="I9" s="50" t="inlineStr">
        <is>
          <t>Baixa</t>
        </is>
      </c>
      <c r="J9" s="52" t="inlineStr">
        <is>
          <t>A recotar Full</t>
        </is>
      </c>
      <c r="K9" s="48" t="inlineStr">
        <is>
          <t>R$29,90 não confirmado; anúncio abriu a R$70,13 sem Full confirmado. Corrente não validada. Farol exige limitador, PWM e dissipação dedicada.</t>
        </is>
      </c>
    </row>
    <row r="10" ht="55" customHeight="1">
      <c r="B10" s="38" t="inlineStr">
        <is>
          <t>ML-FSIA6B</t>
        </is>
      </c>
      <c r="C10" s="39" t="inlineStr">
        <is>
          <t>Receptor FlySky FS-iA6B 6CH 2.4GHz AFHDS 2A</t>
        </is>
      </c>
      <c r="D10" s="38" t="n">
        <v>1</v>
      </c>
      <c r="E10" s="75" t="n">
        <v>79.90000000000001</v>
      </c>
      <c r="F10" s="75">
        <f>ROUND(D10*E10,2)</f>
        <v/>
      </c>
      <c r="G10" s="75">
        <f>ROUND(F10*(1-$D$5),2)</f>
        <v/>
      </c>
      <c r="H10" s="41" t="inlineStr">
        <is>
          <t>Revisar anúncio</t>
        </is>
      </c>
      <c r="I10" s="50" t="inlineStr">
        <is>
          <t>Baixa</t>
        </is>
      </c>
      <c r="J10" s="51" t="inlineStr">
        <is>
          <t>Importado; não elegível</t>
        </is>
      </c>
      <c r="K10" s="43" t="inlineStr">
        <is>
          <t>Preço estimado sem cotação elegível. AFHDS 2A: confirmar modelo do FlySky. Marca/procedência do anúncio não comprovam receptor oficial. Integrar ao Nano + failsafe.</t>
        </is>
      </c>
    </row>
    <row r="11">
      <c r="B11" s="38" t="inlineStr">
        <is>
          <t>ML-MAX98357A</t>
        </is>
      </c>
      <c r="C11" s="39" t="inlineStr">
        <is>
          <t>Módulo amplificador I2S MAX98357A + Mini alto-falante 3W</t>
        </is>
      </c>
      <c r="D11" s="38" t="n">
        <v>1</v>
      </c>
      <c r="E11" s="75" t="n">
        <v>25</v>
      </c>
      <c r="F11" s="75">
        <f>ROUND(D11*E11,2)</f>
        <v/>
      </c>
      <c r="G11" s="75">
        <f>ROUND(F11*(1-$D$5),2)</f>
        <v/>
      </c>
      <c r="H11" s="82" t="inlineStr">
        <is>
          <t>Revisar anúncio</t>
        </is>
      </c>
      <c r="I11" s="50" t="inlineStr">
        <is>
          <t>Média</t>
        </is>
      </c>
      <c r="J11" s="51" t="inlineStr">
        <is>
          <t>A recotar Full</t>
        </is>
      </c>
      <c r="K11" s="43" t="inlineStr">
        <is>
          <t>DAC + amplificador Classe D 3,2 W via I2S nativo do ESP32 (3 pinos) para buzina real, efeitos sonoros e alertas.</t>
        </is>
      </c>
    </row>
    <row r="12">
      <c r="E12" s="73" t="n"/>
      <c r="F12" s="73" t="n"/>
      <c r="G12" s="73" t="n"/>
    </row>
    <row r="13">
      <c r="E13" s="73" t="n"/>
      <c r="F13" s="73" t="n"/>
      <c r="G13" s="73" t="n"/>
    </row>
    <row r="14">
      <c r="B14" s="11" t="n"/>
      <c r="C14" s="10" t="inlineStr">
        <is>
          <t>Total estimado (não validado)</t>
        </is>
      </c>
      <c r="D14" s="11" t="n"/>
      <c r="E14" s="78" t="n"/>
      <c r="F14" s="72">
        <f>SUM(F8:F11)</f>
        <v/>
      </c>
      <c r="G14" s="72">
        <f>SUM(G8:G11)</f>
        <v/>
      </c>
      <c r="H14" s="11" t="n"/>
      <c r="I14" s="11" t="n"/>
      <c r="J14" s="11" t="n"/>
      <c r="K14" s="11" t="n"/>
    </row>
    <row r="15">
      <c r="B15" s="31" t="n"/>
      <c r="C15" s="32" t="inlineStr">
        <is>
          <t>Subtotal prioridade média (estimado)</t>
        </is>
      </c>
      <c r="D15" s="31" t="n"/>
      <c r="E15" s="79" t="n"/>
      <c r="F15" s="80">
        <f>SUMIF(I8:I11,"Média",F8:F11)</f>
        <v/>
      </c>
      <c r="G15" s="80">
        <f>SUMIF(I8:I11,"Média",G8:G11)</f>
        <v/>
      </c>
      <c r="H15" s="31" t="n"/>
      <c r="I15" s="31" t="n"/>
      <c r="J15" s="31" t="n"/>
      <c r="K15" s="31" t="n"/>
    </row>
    <row r="16">
      <c r="B16" s="31" t="n"/>
      <c r="C16" s="32" t="inlineStr">
        <is>
          <t>Subtotal prioridade baixa (estimado)</t>
        </is>
      </c>
      <c r="D16" s="31" t="n"/>
      <c r="E16" s="79" t="n"/>
      <c r="F16" s="80">
        <f>SUMIF(I8:I11,"Baixa",F8:F11)</f>
        <v/>
      </c>
      <c r="G16" s="80">
        <f>SUMIF(I8:I11,"Baixa",G8:G11)</f>
        <v/>
      </c>
      <c r="H16" s="31" t="n"/>
      <c r="I16" s="31" t="n"/>
      <c r="J16" s="31" t="n"/>
      <c r="K16" s="31" t="n"/>
    </row>
    <row r="18">
      <c r="B18" s="18" t="inlineStr">
        <is>
          <t>Notas e Observações ML:</t>
        </is>
      </c>
    </row>
    <row r="19">
      <c r="B19" s="2" t="inlineStr">
        <is>
          <t>Catálogo MLB/MLBU não garante Full. Registrar oferta, vendedor e Full na seção de compra.</t>
        </is>
      </c>
    </row>
    <row r="20">
      <c r="B20" s="2" t="inlineStr">
        <is>
          <t>Driver ausente: o farol só fica completo com limitação de corrente, acionamento e dissipação dimensionados.</t>
        </is>
      </c>
    </row>
    <row r="21">
      <c r="B21" s="2" t="inlineStr">
        <is>
          <t>Prioridades desta versão preservadas. Valores estimados mantidos; não são cotações aprovadas.</t>
        </is>
      </c>
    </row>
  </sheetData>
  <dataValidations count="1">
    <dataValidation sqref="I8:I11" showDropDown="0" showInputMessage="0" showErrorMessage="0" allowBlank="0" type="list">
      <formula1>"Alta,Média,Baixa"</formula1>
    </dataValidation>
  </dataValidations>
  <hyperlinks>
    <hyperlink xmlns:r="http://schemas.openxmlformats.org/officeDocument/2006/relationships" ref="H8" r:id="rId1"/>
    <hyperlink xmlns:r="http://schemas.openxmlformats.org/officeDocument/2006/relationships" ref="H9" r:id="rId2"/>
    <hyperlink xmlns:r="http://schemas.openxmlformats.org/officeDocument/2006/relationships" ref="H10" r:id="rId3"/>
    <hyperlink xmlns:r="http://schemas.openxmlformats.org/officeDocument/2006/relationships" ref="H11" r:id="rId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1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42" customWidth="1" min="3" max="3"/>
    <col width="8" customWidth="1" min="4" max="4"/>
    <col width="15" customWidth="1" min="5" max="5"/>
    <col width="17" customWidth="1" min="6" max="6"/>
    <col width="20" customWidth="1" min="7" max="7"/>
    <col width="16" customWidth="1" min="8" max="8"/>
    <col width="13" customWidth="1" min="9" max="9"/>
    <col width="14" customWidth="1" min="10" max="10"/>
    <col width="52" customWidth="1" min="11" max="11"/>
  </cols>
  <sheetData>
    <row r="2">
      <c r="B2" s="1" t="inlineStr">
        <is>
          <t>CURTO CIRCUITO — EXPANSÃO TELEMETRIA 4G / LTE</t>
        </is>
      </c>
    </row>
    <row r="3">
      <c r="B3" s="2" t="inlineStr">
        <is>
          <t>Módulo LTE Cat-4 para expansão futura; ligação com a S3-CAM ainda a validar.</t>
        </is>
      </c>
    </row>
    <row r="5">
      <c r="B5" s="18" t="inlineStr">
        <is>
          <t>Desconto Boleto / Pix:</t>
        </is>
      </c>
      <c r="D5" s="74" t="n">
        <v>0.1</v>
      </c>
      <c r="E5" s="2" t="inlineStr">
        <is>
          <t>(editável)</t>
        </is>
      </c>
    </row>
    <row r="7">
      <c r="B7" s="6" t="inlineStr">
        <is>
          <t>Código</t>
        </is>
      </c>
      <c r="C7" s="6" t="inlineStr">
        <is>
          <t>Produto</t>
        </is>
      </c>
      <c r="D7" s="6" t="inlineStr">
        <is>
          <t>Qtd</t>
        </is>
      </c>
      <c r="E7" s="6" t="inlineStr">
        <is>
          <t>Unit. Cartão</t>
        </is>
      </c>
      <c r="F7" s="6" t="inlineStr">
        <is>
          <t>Subtotal Cartão</t>
        </is>
      </c>
      <c r="G7" s="6" t="inlineStr">
        <is>
          <t>À Vista (Pix/Boleto)</t>
        </is>
      </c>
      <c r="H7" s="6" t="inlineStr">
        <is>
          <t>Link do Produto</t>
        </is>
      </c>
      <c r="I7" s="6" t="inlineStr">
        <is>
          <t>Prioridade</t>
        </is>
      </c>
      <c r="J7" s="6" t="inlineStr">
        <is>
          <t>Situação</t>
        </is>
      </c>
      <c r="K7" s="6" t="inlineStr">
        <is>
          <t>Uso / Compatibilidade Técnica</t>
        </is>
      </c>
    </row>
    <row r="8" ht="55" customHeight="1">
      <c r="B8" s="38" t="inlineStr">
        <is>
          <t>0000000018609</t>
        </is>
      </c>
      <c r="C8" s="39" t="inlineStr">
        <is>
          <t>Módulo A7608SA-H 4G LTE Cat-4 + Antena FCP</t>
        </is>
      </c>
      <c r="D8" s="38" t="n">
        <v>1</v>
      </c>
      <c r="E8" s="75" t="n">
        <v>448</v>
      </c>
      <c r="F8" s="75">
        <f>ROUND(D8*E8,2)</f>
        <v/>
      </c>
      <c r="G8" s="75">
        <f>ROUND(F8*(1-$D$5),2)</f>
        <v/>
      </c>
      <c r="H8" s="41" t="inlineStr">
        <is>
          <t>Abrir produto</t>
        </is>
      </c>
      <c r="I8" s="42" t="inlineStr">
        <is>
          <t>Alta</t>
        </is>
      </c>
      <c r="J8" s="51" t="inlineStr">
        <is>
          <t>Cotado; integração pendente</t>
        </is>
      </c>
      <c r="K8" s="43" t="inlineStr">
        <is>
          <t>Placa 5–16 V, núcleo avulso 3,4–4,2 V. Reservar alimentação para picos; não assumir Mini-560 validado. USB/PPP, GPIO e vazão serial pendentes.</t>
        </is>
      </c>
    </row>
    <row r="9">
      <c r="E9" s="73" t="n"/>
      <c r="F9" s="73" t="n"/>
      <c r="G9" s="73" t="n"/>
    </row>
    <row r="10">
      <c r="B10" s="11" t="n"/>
      <c r="C10" s="10" t="inlineStr">
        <is>
          <t>Total Curto Circuito</t>
        </is>
      </c>
      <c r="D10" s="11" t="n"/>
      <c r="E10" s="78" t="n"/>
      <c r="F10" s="72">
        <f>SUM(F8)</f>
        <v/>
      </c>
      <c r="G10" s="72">
        <f>SUM(G8)</f>
        <v/>
      </c>
      <c r="H10" s="11" t="n"/>
      <c r="I10" s="11" t="n"/>
      <c r="J10" s="11" t="n"/>
      <c r="K10" s="11" t="n"/>
    </row>
    <row r="12">
      <c r="B12" s="18" t="inlineStr">
        <is>
          <t>Notas e Observações:</t>
        </is>
      </c>
    </row>
    <row r="13">
      <c r="B13" s="2" t="inlineStr">
        <is>
          <t>• ¹ Desconto à vista de 10% da Curto Circuito configurável na célula D5.</t>
        </is>
      </c>
    </row>
    <row r="14">
      <c r="B14" s="2" t="inlineStr">
        <is>
          <t>• Frete e plano de dados móveis (M2M / IoT ou pré-pago) não inclusos no valor cotado.</t>
        </is>
      </c>
    </row>
    <row r="15">
      <c r="B15" s="2" t="inlineStr">
        <is>
          <t>ML R$427,51: sem Full confirmado; alternativa excluída pelo requisito do usuário.</t>
        </is>
      </c>
    </row>
    <row r="17">
      <c r="B17" s="18" t="inlineStr">
        <is>
          <t>Link Alternativa ML:</t>
        </is>
      </c>
      <c r="C17" s="35" t="inlineStr">
        <is>
          <t>ML sem Full confirmado</t>
        </is>
      </c>
    </row>
  </sheetData>
  <dataValidations count="1">
    <dataValidation sqref="I8" showDropDown="0" showInputMessage="0" showErrorMessage="0" allowBlank="0" type="list">
      <formula1>"Alta,Média,Baixa"</formula1>
    </dataValidation>
  </dataValidations>
  <hyperlinks>
    <hyperlink xmlns:r="http://schemas.openxmlformats.org/officeDocument/2006/relationships" ref="H8" r:id="rId1"/>
    <hyperlink xmlns:r="http://schemas.openxmlformats.org/officeDocument/2006/relationships" ref="C17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2026-10-14T22:00:01Z</dcterms:created>
  <dcterms:modified xmlns:dcterms="http://purl.org/dc/terms/" xmlns:xsi="http://www.w3.org/2001/XMLSchema-instance" xsi:type="dcterms:W3CDTF">2026-10-14T22:57:54Z</dcterms:modified>
</cp:coreProperties>
</file>