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Comp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15">
    <font>
      <name val="Calibri"/>
      <family val="2"/>
      <color theme="1"/>
      <sz val="11"/>
      <scheme val="minor"/>
    </font>
    <font>
      <name val="Segoe UI"/>
      <b val="1"/>
      <color rgb="001E293B"/>
      <sz val="14"/>
    </font>
    <font>
      <name val="Segoe UI"/>
      <i val="1"/>
      <color rgb="0064748B"/>
      <sz val="10"/>
    </font>
    <font>
      <name val="Segoe UI"/>
      <b val="1"/>
      <color rgb="00047857"/>
      <sz val="9"/>
    </font>
    <font>
      <name val="Segoe UI"/>
      <b val="1"/>
      <color rgb="00059669"/>
      <sz val="16"/>
    </font>
    <font>
      <name val="Segoe UI"/>
      <b val="1"/>
      <color rgb="001E293B"/>
      <sz val="9"/>
    </font>
    <font>
      <name val="Segoe UI"/>
      <b val="1"/>
      <color rgb="001E293B"/>
      <sz val="16"/>
    </font>
    <font>
      <name val="Segoe UI"/>
      <b val="1"/>
      <color rgb="000369A1"/>
      <sz val="9"/>
    </font>
    <font>
      <name val="Segoe UI"/>
      <b val="1"/>
      <color rgb="000284C7"/>
      <sz val="16"/>
    </font>
    <font>
      <name val="Segoe UI"/>
      <b val="1"/>
      <color rgb="00FFFFFF"/>
      <sz val="11"/>
    </font>
    <font>
      <name val="Segoe UI"/>
      <b val="1"/>
      <color rgb="00334155"/>
      <sz val="10"/>
    </font>
    <font>
      <name val="Segoe UI"/>
      <color rgb="001E293B"/>
      <sz val="10"/>
    </font>
    <font>
      <name val="Segoe UI"/>
      <color rgb="000284C7"/>
      <sz val="9"/>
      <u val="single"/>
    </font>
    <font>
      <name val="Segoe UI"/>
      <b val="1"/>
      <color rgb="001E293B"/>
      <sz val="10"/>
    </font>
    <font>
      <name val="Segoe UI"/>
      <b val="1"/>
      <color rgb="000F172A"/>
      <sz val="11"/>
    </font>
  </fonts>
  <fills count="9">
    <fill>
      <patternFill/>
    </fill>
    <fill>
      <patternFill patternType="gray125"/>
    </fill>
    <fill>
      <patternFill patternType="solid">
        <fgColor rgb="00ECFDF5"/>
        <bgColor rgb="00ECFDF5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0D9488"/>
        <bgColor rgb="000D9488"/>
      </patternFill>
    </fill>
    <fill>
      <patternFill patternType="solid">
        <fgColor rgb="00F1F5F9"/>
        <bgColor rgb="00F1F5F9"/>
      </patternFill>
    </fill>
    <fill>
      <patternFill patternType="solid">
        <fgColor rgb="000284C7"/>
        <bgColor rgb="000284C7"/>
      </patternFill>
    </fill>
    <fill>
      <patternFill patternType="solid">
        <fgColor rgb="007C3AED"/>
        <bgColor rgb="007C3AED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94A3B8"/>
      </top>
      <bottom style="double">
        <color rgb="000F172A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5" fillId="3" borderId="1" applyAlignment="1" pivotButton="0" quotePrefix="0" xfId="0">
      <alignment horizontal="center"/>
    </xf>
    <xf numFmtId="0" fontId="0" fillId="3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164" fontId="4" fillId="2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4" fontId="8" fillId="4" borderId="1" applyAlignment="1" pivotButton="0" quotePrefix="0" xfId="0">
      <alignment horizontal="center"/>
    </xf>
    <xf numFmtId="0" fontId="9" fillId="5" borderId="0" applyAlignment="1" pivotButton="0" quotePrefix="0" xfId="0">
      <alignment vertical="center" indent="1"/>
    </xf>
    <xf numFmtId="0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11" fillId="0" borderId="1" pivotButton="0" quotePrefix="0" xfId="0"/>
    <xf numFmtId="0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right"/>
    </xf>
    <xf numFmtId="0" fontId="12" fillId="0" borderId="1" applyAlignment="1" pivotButton="0" quotePrefix="0" xfId="0">
      <alignment horizontal="center"/>
    </xf>
    <xf numFmtId="0" fontId="13" fillId="3" borderId="1" pivotButton="0" quotePrefix="0" xfId="0"/>
    <xf numFmtId="164" fontId="13" fillId="3" borderId="1" pivotButton="0" quotePrefix="0" xfId="0"/>
    <xf numFmtId="0" fontId="9" fillId="7" borderId="0" applyAlignment="1" pivotButton="0" quotePrefix="0" xfId="0">
      <alignment vertical="center" indent="1"/>
    </xf>
    <xf numFmtId="0" fontId="9" fillId="8" borderId="0" applyAlignment="1" pivotButton="0" quotePrefix="0" xfId="0">
      <alignment vertical="center" indent="1"/>
    </xf>
    <xf numFmtId="0" fontId="14" fillId="2" borderId="2" pivotButton="0" quotePrefix="0" xfId="0"/>
    <xf numFmtId="0" fontId="0" fillId="2" borderId="2" pivotButton="0" quotePrefix="0" xfId="0"/>
    <xf numFmtId="164" fontId="14" fillId="2" borderId="2" applyAlignment="1" pivotButton="0" quotePrefix="0" xfId="0">
      <alignment horizontal="right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usinainfo.com.br/display-arduino/tft-lcd-35-spi-touch-screen-com-slot-sd-8570.html" TargetMode="External" Id="rId1"/><Relationship Type="http://schemas.openxmlformats.org/officeDocument/2006/relationships/hyperlink" Target="https://www.usinainfo.com.br/display-arduino/display-tft-lcd-13-spi-rgb-240x240-st7789-5607.html" TargetMode="External" Id="rId2"/><Relationship Type="http://schemas.openxmlformats.org/officeDocument/2006/relationships/hyperlink" Target="https://www.usinainfo.com.br/display-arduino/display-oled-096-i2c-128x64-branco-5366.html" TargetMode="External" Id="rId3"/><Relationship Type="http://schemas.openxmlformats.org/officeDocument/2006/relationships/hyperlink" Target="https://www.usinainfo.com.br/push-buttons/push-button-chave-tactil-6x6x5-kit-com-5-unidades-2989.html" TargetMode="External" Id="rId4"/><Relationship Type="http://schemas.openxmlformats.org/officeDocument/2006/relationships/hyperlink" Target="https://www.usinainfo.com.br/push-buttons/capa-para-push-button-6x6mm-preta-kit-com-10-unidades-5861.html" TargetMode="External" Id="rId5"/><Relationship Type="http://schemas.openxmlformats.org/officeDocument/2006/relationships/hyperlink" Target="https://www.usinainfo.com.br/conversores-de-sinal/conversor-de-nivel-logico-33-5v-bidirecional-cnl35-3741.html" TargetMode="External" Id="rId6"/><Relationship Type="http://schemas.openxmlformats.org/officeDocument/2006/relationships/hyperlink" Target="https://www.usinainfo.com.br/antenas-wireless/antena-omni-wi-fi-24ghz-3dbi-com-pigtail-u-fl-ipex1-5259.html" TargetMode="External" Id="rId7"/><Relationship Type="http://schemas.openxmlformats.org/officeDocument/2006/relationships/hyperlink" Target="https://www.usinainfo.com.br/coolers-para-pc/mini-cooler-5v-25x25mm-para-esc-e-projetos-4408.html" TargetMode="External" Id="rId8"/><Relationship Type="http://schemas.openxmlformats.org/officeDocument/2006/relationships/hyperlink" Target="https://www.usinainfo.com.br/sensores-de-temperatura/sensor-de-temperatura-ds18b20-avulso-2741.html" TargetMode="External" Id="rId9"/><Relationship Type="http://schemas.openxmlformats.org/officeDocument/2006/relationships/hyperlink" Target="https://www.usinainfo.com.br/dissipadores-de-calor/kit-com-3-dissipadores-de-aluminio-para-raspberry-pi-3-e-outros-4428.html" TargetMode="External" Id="rId10"/><Relationship Type="http://schemas.openxmlformats.org/officeDocument/2006/relationships/hyperlink" Target="https://www.usinainfo.com.br/sensor-de-tensao/sensor-de-tensao-dc-0-25v-3425.html" TargetMode="External" Id="rId11"/><Relationship Type="http://schemas.openxmlformats.org/officeDocument/2006/relationships/hyperlink" Target="https://www.usinainfo.com.br/joystick-e-controles-ir/joystick-ky023-3-eixos-2305.html" TargetMode="External" Id="rId12"/><Relationship Type="http://schemas.openxmlformats.org/officeDocument/2006/relationships/hyperlink" Target="https://lista.mercadolivre.com.br/modulo-max98357a" TargetMode="External" Id="rId13"/><Relationship Type="http://schemas.openxmlformats.org/officeDocument/2006/relationships/hyperlink" Target="https://www.mercadolivre.com.br/cartao-de-memoria-micro-sd-sandisk-ultra-32gb-120mbs-c10-a1/p/MLB20654826?pdp_filters=shipping:fulfillment" TargetMode="External" Id="rId14"/><Relationship Type="http://schemas.openxmlformats.org/officeDocument/2006/relationships/hyperlink" Target="https://lista.mercadolivre.com.br/led-3w-estrela_OrderId_PRICE*ASC_Fulfillment_YES" TargetMode="External" Id="rId15"/><Relationship Type="http://schemas.openxmlformats.org/officeDocument/2006/relationships/hyperlink" Target="https://lista.mercadolivre.com.br/fs-ia6b_OrderId_PRICE*ASC_Fulfillment_YES" TargetMode="External" Id="rId16"/><Relationship Type="http://schemas.openxmlformats.org/officeDocument/2006/relationships/hyperlink" Target="https://curtocircuito.com.br/modulo-a7608sa-h-4g-lte-antena-fcp.html" TargetMode="External" Id="rId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8" customWidth="1" min="2" max="2"/>
    <col width="15" customWidth="1" min="3" max="3"/>
    <col width="17" customWidth="1" min="4" max="4"/>
    <col width="17" customWidth="1" min="5" max="5"/>
    <col width="16" customWidth="1" min="6" max="6"/>
  </cols>
  <sheetData>
    <row r="1">
      <c r="A1" s="1" t="inlineStr">
        <is>
          <t>ROVER ESP32-S3 — PLANEJAMENTO DE COMPRAS (2º LOTE)</t>
        </is>
      </c>
    </row>
    <row r="2">
      <c r="A2" s="2" t="inlineStr">
        <is>
          <t>Planilha simplificada para visualização rápida no celular e computador.</t>
        </is>
      </c>
    </row>
    <row r="4">
      <c r="A4" s="3" t="inlineStr">
        <is>
          <t>TOTAL À VISTA (PIX)</t>
        </is>
      </c>
      <c r="B4" s="26" t="n"/>
      <c r="C4" s="5" t="inlineStr">
        <is>
          <t>TOTAL CARTÃO</t>
        </is>
      </c>
      <c r="D4" s="26" t="n"/>
      <c r="E4" s="7" t="inlineStr">
        <is>
          <t>ECONOMIA NO PIX</t>
        </is>
      </c>
      <c r="F4" s="26" t="n"/>
    </row>
    <row r="5">
      <c r="A5" s="9">
        <f>E36</f>
        <v/>
      </c>
      <c r="B5" s="26" t="n"/>
      <c r="C5" s="10">
        <f>D36</f>
        <v/>
      </c>
      <c r="D5" s="26" t="n"/>
      <c r="E5" s="11">
        <f>C5-A5</f>
        <v/>
      </c>
      <c r="F5" s="26" t="n"/>
    </row>
    <row r="7" ht="24" customHeight="1">
      <c r="A7" s="12" t="inlineStr">
        <is>
          <t>1. USINAINFO — SENSORES, TELAS, BOTÕES &amp; REFRIGERAÇÃO (5% OFF NO PIX)</t>
        </is>
      </c>
    </row>
    <row r="8">
      <c r="A8" s="13" t="inlineStr">
        <is>
          <t>Produto / Componente</t>
        </is>
      </c>
      <c r="B8" s="14" t="inlineStr">
        <is>
          <t>Qtd</t>
        </is>
      </c>
      <c r="C8" s="14" t="inlineStr">
        <is>
          <t>Preço Unit.</t>
        </is>
      </c>
      <c r="D8" s="14" t="inlineStr">
        <is>
          <t>Subtotal Cartão</t>
        </is>
      </c>
      <c r="E8" s="14" t="inlineStr">
        <is>
          <t>À Vista (Pix)</t>
        </is>
      </c>
      <c r="F8" s="13" t="inlineStr">
        <is>
          <t>Link de Compra</t>
        </is>
      </c>
    </row>
    <row r="9">
      <c r="A9" s="15" t="inlineStr">
        <is>
          <t>Display TFT LCD 3,5" SPI Touch + Slot SD (ILI9488)</t>
        </is>
      </c>
      <c r="B9" s="16" t="n">
        <v>1</v>
      </c>
      <c r="C9" s="17" t="n">
        <v>119.6</v>
      </c>
      <c r="D9" s="17">
        <f>B9*C9</f>
        <v/>
      </c>
      <c r="E9" s="17">
        <f>ROUND(D9*0.95,2)</f>
        <v/>
      </c>
      <c r="F9" s="18" t="inlineStr">
        <is>
          <t>Abrir Loja ↗</t>
        </is>
      </c>
    </row>
    <row r="10">
      <c r="A10" s="15" t="inlineStr">
        <is>
          <t>Display TFT 1,3” ST7789 SPI 240×240 (Econômico)</t>
        </is>
      </c>
      <c r="B10" s="16" t="n">
        <v>1</v>
      </c>
      <c r="C10" s="17" t="n">
        <v>34.7</v>
      </c>
      <c r="D10" s="17">
        <f>B10*C10</f>
        <v/>
      </c>
      <c r="E10" s="17">
        <f>ROUND(D10*0.95,2)</f>
        <v/>
      </c>
      <c r="F10" s="18" t="inlineStr">
        <is>
          <t>Abrir Loja ↗</t>
        </is>
      </c>
    </row>
    <row r="11">
      <c r="A11" s="15" t="inlineStr">
        <is>
          <t>Display OLED 0,96” I²C 128×64 (SSD1306)</t>
        </is>
      </c>
      <c r="B11" s="16" t="n">
        <v>1</v>
      </c>
      <c r="C11" s="17" t="n">
        <v>24.3</v>
      </c>
      <c r="D11" s="17">
        <f>B11*C11</f>
        <v/>
      </c>
      <c r="E11" s="17">
        <f>ROUND(D11*0.95,2)</f>
        <v/>
      </c>
      <c r="F11" s="18" t="inlineStr">
        <is>
          <t>Abrir Loja ↗</t>
        </is>
      </c>
    </row>
    <row r="12">
      <c r="A12" s="15" t="inlineStr">
        <is>
          <t>Push Button Chave Táctil 6×6×5mm (2x Kits c/ 5 = 10 botões)</t>
        </is>
      </c>
      <c r="B12" s="16" t="n">
        <v>2</v>
      </c>
      <c r="C12" s="17" t="n">
        <v>2.46</v>
      </c>
      <c r="D12" s="17">
        <f>B12*C12</f>
        <v/>
      </c>
      <c r="E12" s="17">
        <f>ROUND(D12*0.95,2)</f>
        <v/>
      </c>
      <c r="F12" s="18" t="inlineStr">
        <is>
          <t>Abrir Loja ↗</t>
        </is>
      </c>
    </row>
    <row r="13">
      <c r="A13" s="15" t="inlineStr">
        <is>
          <t>Kit 10 Capas para Push Button 6×6mm (Pretas/Brancas)</t>
        </is>
      </c>
      <c r="B13" s="16" t="n">
        <v>1</v>
      </c>
      <c r="C13" s="17" t="n">
        <v>8.859999999999999</v>
      </c>
      <c r="D13" s="17">
        <f>B13*C13</f>
        <v/>
      </c>
      <c r="E13" s="17">
        <f>ROUND(D13*0.95,2)</f>
        <v/>
      </c>
      <c r="F13" s="18" t="inlineStr">
        <is>
          <t>Abrir Loja ↗</t>
        </is>
      </c>
    </row>
    <row r="14">
      <c r="A14" s="15" t="inlineStr">
        <is>
          <t>Conversor de Nível Lógico 3,3V / 5V Bidirecional (CNL35)</t>
        </is>
      </c>
      <c r="B14" s="16" t="n">
        <v>1</v>
      </c>
      <c r="C14" s="17" t="n">
        <v>7.5</v>
      </c>
      <c r="D14" s="17">
        <f>B14*C14</f>
        <v/>
      </c>
      <c r="E14" s="17">
        <f>ROUND(D14*0.95,2)</f>
        <v/>
      </c>
      <c r="F14" s="18" t="inlineStr">
        <is>
          <t>Abrir Loja ↗</t>
        </is>
      </c>
    </row>
    <row r="15">
      <c r="A15" s="15" t="inlineStr">
        <is>
          <t>Kit Antena Wi-Fi 2,4GHz 3dBi + Cabo Pigtail U.FL (IPEX)</t>
        </is>
      </c>
      <c r="B15" s="16" t="n">
        <v>1</v>
      </c>
      <c r="C15" s="17" t="n">
        <v>11.8</v>
      </c>
      <c r="D15" s="17">
        <f>B15*C15</f>
        <v/>
      </c>
      <c r="E15" s="17">
        <f>ROUND(D15*0.95,2)</f>
        <v/>
      </c>
      <c r="F15" s="18" t="inlineStr">
        <is>
          <t>Abrir Loja ↗</t>
        </is>
      </c>
    </row>
    <row r="16">
      <c r="A16" s="15" t="inlineStr">
        <is>
          <t>Mini Ventoinha 5V (25×25×10mm)</t>
        </is>
      </c>
      <c r="B16" s="16" t="n">
        <v>1</v>
      </c>
      <c r="C16" s="17" t="n">
        <v>16.97</v>
      </c>
      <c r="D16" s="17">
        <f>B16*C16</f>
        <v/>
      </c>
      <c r="E16" s="17">
        <f>ROUND(D16*0.95,2)</f>
        <v/>
      </c>
      <c r="F16" s="18" t="inlineStr">
        <is>
          <t>Abrir Loja ↗</t>
        </is>
      </c>
    </row>
    <row r="17">
      <c r="A17" s="15" t="inlineStr">
        <is>
          <t>2x Sensores de Temperatura DS18B20</t>
        </is>
      </c>
      <c r="B17" s="16" t="n">
        <v>2</v>
      </c>
      <c r="C17" s="17" t="n">
        <v>15.34</v>
      </c>
      <c r="D17" s="17">
        <f>B17*C17</f>
        <v/>
      </c>
      <c r="E17" s="17">
        <f>ROUND(D17*0.95,2)</f>
        <v/>
      </c>
      <c r="F17" s="18" t="inlineStr">
        <is>
          <t>Abrir Loja ↗</t>
        </is>
      </c>
    </row>
    <row r="18">
      <c r="A18" s="15" t="inlineStr">
        <is>
          <t>Kit 3 Mini Dissipadores Autoadesivos</t>
        </is>
      </c>
      <c r="B18" s="16" t="n">
        <v>1</v>
      </c>
      <c r="C18" s="17" t="n">
        <v>3.6</v>
      </c>
      <c r="D18" s="17">
        <f>B18*C18</f>
        <v/>
      </c>
      <c r="E18" s="17">
        <f>ROUND(D18*0.95,2)</f>
        <v/>
      </c>
      <c r="F18" s="18" t="inlineStr">
        <is>
          <t>Abrir Loja ↗</t>
        </is>
      </c>
    </row>
    <row r="19">
      <c r="A19" s="15" t="inlineStr">
        <is>
          <t>Sensor de Tensão DC 0–25V (Divisor 5:1)</t>
        </is>
      </c>
      <c r="B19" s="16" t="n">
        <v>1</v>
      </c>
      <c r="C19" s="17" t="n">
        <v>4.95</v>
      </c>
      <c r="D19" s="17">
        <f>B19*C19</f>
        <v/>
      </c>
      <c r="E19" s="17">
        <f>ROUND(D19*0.95,2)</f>
        <v/>
      </c>
      <c r="F19" s="18" t="inlineStr">
        <is>
          <t>Abrir Loja ↗</t>
        </is>
      </c>
    </row>
    <row r="20">
      <c r="A20" s="15" t="inlineStr">
        <is>
          <t>2x Joysticks Analógicos KY-023 (Controle Futuro)</t>
        </is>
      </c>
      <c r="B20" s="16" t="n">
        <v>2</v>
      </c>
      <c r="C20" s="17" t="n">
        <v>5.95</v>
      </c>
      <c r="D20" s="17">
        <f>B20*C20</f>
        <v/>
      </c>
      <c r="E20" s="17">
        <f>ROUND(D20*0.95,2)</f>
        <v/>
      </c>
      <c r="F20" s="18" t="inlineStr">
        <is>
          <t>Abrir Loja ↗</t>
        </is>
      </c>
    </row>
    <row r="21">
      <c r="A21" s="19" t="inlineStr">
        <is>
          <t>Subtotal UsinaInfo (12 itens):</t>
        </is>
      </c>
      <c r="B21" s="6" t="n"/>
      <c r="C21" s="6" t="n"/>
      <c r="D21" s="20">
        <f>SUM(D9:D20)</f>
        <v/>
      </c>
      <c r="E21" s="20">
        <f>SUM(E9:E20)</f>
        <v/>
      </c>
      <c r="F21" s="6" t="n"/>
    </row>
    <row r="23" ht="24" customHeight="1">
      <c r="A23" s="21" t="inlineStr">
        <is>
          <t>2. MERCADO LIVRE — ÁUDIO I2S, FARÓIS, MICROSD &amp; RÁDIO (FRETE FULL)</t>
        </is>
      </c>
    </row>
    <row r="24">
      <c r="A24" s="13" t="inlineStr">
        <is>
          <t>Produto / Componente</t>
        </is>
      </c>
      <c r="B24" s="14" t="inlineStr">
        <is>
          <t>Qtd</t>
        </is>
      </c>
      <c r="C24" s="14" t="inlineStr">
        <is>
          <t>Preço Unit.</t>
        </is>
      </c>
      <c r="D24" s="14" t="inlineStr">
        <is>
          <t>Subtotal Cartão</t>
        </is>
      </c>
      <c r="E24" s="14" t="inlineStr">
        <is>
          <t>À Vista (Pix)</t>
        </is>
      </c>
      <c r="F24" s="13" t="inlineStr">
        <is>
          <t>Link de Compra</t>
        </is>
      </c>
    </row>
    <row r="25">
      <c r="A25" s="15" t="inlineStr">
        <is>
          <t>Módulo Áudio I2S MAX98357A + Mini Alto-falante 3W</t>
        </is>
      </c>
      <c r="B25" s="16" t="n">
        <v>1</v>
      </c>
      <c r="C25" s="17" t="n">
        <v>25</v>
      </c>
      <c r="D25" s="17">
        <f>B25*C25</f>
        <v/>
      </c>
      <c r="E25" s="17">
        <f>D25</f>
        <v/>
      </c>
      <c r="F25" s="18" t="inlineStr">
        <is>
          <t>Abrir ML ↗</t>
        </is>
      </c>
    </row>
    <row r="26">
      <c r="A26" s="15" t="inlineStr">
        <is>
          <t>Cartão MicroSD SanDisk Ultra 32GB Classe 10 A1</t>
        </is>
      </c>
      <c r="B26" s="16" t="n">
        <v>1</v>
      </c>
      <c r="C26" s="17" t="n">
        <v>44.9</v>
      </c>
      <c r="D26" s="17">
        <f>B26*C26</f>
        <v/>
      </c>
      <c r="E26" s="17">
        <f>D26</f>
        <v/>
      </c>
      <c r="F26" s="18" t="inlineStr">
        <is>
          <t>Abrir ML ↗</t>
        </is>
      </c>
    </row>
    <row r="27">
      <c r="A27" s="15" t="inlineStr">
        <is>
          <t>Kit 10x LEDs 3W Branco Frio Estrela (Faróis)</t>
        </is>
      </c>
      <c r="B27" s="16" t="n">
        <v>1</v>
      </c>
      <c r="C27" s="17" t="n">
        <v>29.9</v>
      </c>
      <c r="D27" s="17">
        <f>B27*C27</f>
        <v/>
      </c>
      <c r="E27" s="17">
        <f>D27</f>
        <v/>
      </c>
      <c r="F27" s="18" t="inlineStr">
        <is>
          <t>Abrir ML ↗</t>
        </is>
      </c>
    </row>
    <row r="28">
      <c r="A28" s="15" t="inlineStr">
        <is>
          <t>Receptor FlySky FS-iA6B 6CH 2.4GHz</t>
        </is>
      </c>
      <c r="B28" s="16" t="n">
        <v>1</v>
      </c>
      <c r="C28" s="17" t="n">
        <v>79.90000000000001</v>
      </c>
      <c r="D28" s="17">
        <f>B28*C28</f>
        <v/>
      </c>
      <c r="E28" s="17">
        <f>D28</f>
        <v/>
      </c>
      <c r="F28" s="18" t="inlineStr">
        <is>
          <t>Abrir ML ↗</t>
        </is>
      </c>
    </row>
    <row r="29">
      <c r="A29" s="19" t="inlineStr">
        <is>
          <t>Subtotal Mercado Livre (4 itens):</t>
        </is>
      </c>
      <c r="B29" s="6" t="n"/>
      <c r="C29" s="6" t="n"/>
      <c r="D29" s="20">
        <f>SUM(D25:D28)</f>
        <v/>
      </c>
      <c r="E29" s="20">
        <f>SUM(E25:E28)</f>
        <v/>
      </c>
      <c r="F29" s="6" t="n"/>
    </row>
    <row r="31" ht="24" customHeight="1">
      <c r="A31" s="22" t="inlineStr">
        <is>
          <t>3. CURTO CIRCUITO — EXPANSÃO 4G LTE (10% OFF NO PIX)</t>
        </is>
      </c>
    </row>
    <row r="32">
      <c r="A32" s="13" t="inlineStr">
        <is>
          <t>Produto / Componente</t>
        </is>
      </c>
      <c r="B32" s="14" t="inlineStr">
        <is>
          <t>Qtd</t>
        </is>
      </c>
      <c r="C32" s="14" t="inlineStr">
        <is>
          <t>Preço Unit.</t>
        </is>
      </c>
      <c r="D32" s="14" t="inlineStr">
        <is>
          <t>Subtotal Cartão</t>
        </is>
      </c>
      <c r="E32" s="14" t="inlineStr">
        <is>
          <t>À Vista (Pix)</t>
        </is>
      </c>
      <c r="F32" s="13" t="inlineStr">
        <is>
          <t>Link de Compra</t>
        </is>
      </c>
    </row>
    <row r="33">
      <c r="A33" s="15" t="inlineStr">
        <is>
          <t>Módulo 4G LTE Cat-4 A7608SA-H + Antena FCP (Teleoperação)</t>
        </is>
      </c>
      <c r="B33" s="16" t="n">
        <v>1</v>
      </c>
      <c r="C33" s="17" t="n">
        <v>448</v>
      </c>
      <c r="D33" s="17">
        <f>B33*C33</f>
        <v/>
      </c>
      <c r="E33" s="17">
        <f>ROUND(D33*0.90,2)</f>
        <v/>
      </c>
      <c r="F33" s="18" t="inlineStr">
        <is>
          <t>Abrir Loja ↗</t>
        </is>
      </c>
    </row>
    <row r="34">
      <c r="A34" s="19" t="inlineStr">
        <is>
          <t>Subtotal Curto Circuito (1 item):</t>
        </is>
      </c>
      <c r="B34" s="6" t="n"/>
      <c r="C34" s="6" t="n"/>
      <c r="D34" s="20">
        <f>SUM(D33:D33)</f>
        <v/>
      </c>
      <c r="E34" s="20">
        <f>SUM(E33:E33)</f>
        <v/>
      </c>
      <c r="F34" s="6" t="n"/>
    </row>
    <row r="36">
      <c r="A36" s="23" t="inlineStr">
        <is>
          <t>TOTAL GERAL CONSOLIDADO:</t>
        </is>
      </c>
      <c r="B36" s="24" t="n"/>
      <c r="C36" s="24" t="n"/>
      <c r="D36" s="25">
        <f>D21+D29+D34</f>
        <v/>
      </c>
      <c r="E36" s="25">
        <f>E21+E29+E34</f>
        <v/>
      </c>
      <c r="F36" s="24" t="n"/>
    </row>
  </sheetData>
  <mergeCells count="9">
    <mergeCell ref="A4:B4"/>
    <mergeCell ref="E4:F4"/>
    <mergeCell ref="A23:F23"/>
    <mergeCell ref="C5:D5"/>
    <mergeCell ref="A5:B5"/>
    <mergeCell ref="A31:F31"/>
    <mergeCell ref="E5:F5"/>
    <mergeCell ref="A7:F7"/>
    <mergeCell ref="C4:D4"/>
  </mergeCells>
  <hyperlinks>
    <hyperlink xmlns:r="http://schemas.openxmlformats.org/officeDocument/2006/relationships" ref="F9" r:id="rId1"/>
    <hyperlink xmlns:r="http://schemas.openxmlformats.org/officeDocument/2006/relationships" ref="F10" r:id="rId2"/>
    <hyperlink xmlns:r="http://schemas.openxmlformats.org/officeDocument/2006/relationships" ref="F11" r:id="rId3"/>
    <hyperlink xmlns:r="http://schemas.openxmlformats.org/officeDocument/2006/relationships" ref="F12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17" r:id="rId9"/>
    <hyperlink xmlns:r="http://schemas.openxmlformats.org/officeDocument/2006/relationships" ref="F18" r:id="rId10"/>
    <hyperlink xmlns:r="http://schemas.openxmlformats.org/officeDocument/2006/relationships" ref="F19" r:id="rId11"/>
    <hyperlink xmlns:r="http://schemas.openxmlformats.org/officeDocument/2006/relationships" ref="F20" r:id="rId12"/>
    <hyperlink xmlns:r="http://schemas.openxmlformats.org/officeDocument/2006/relationships" ref="F25" r:id="rId13"/>
    <hyperlink xmlns:r="http://schemas.openxmlformats.org/officeDocument/2006/relationships" ref="F26" r:id="rId14"/>
    <hyperlink xmlns:r="http://schemas.openxmlformats.org/officeDocument/2006/relationships" ref="F27" r:id="rId15"/>
    <hyperlink xmlns:r="http://schemas.openxmlformats.org/officeDocument/2006/relationships" ref="F28" r:id="rId16"/>
    <hyperlink xmlns:r="http://schemas.openxmlformats.org/officeDocument/2006/relationships" ref="F33" r:id="rId1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2026-10-14T23:43:49Z</dcterms:created>
  <dcterms:modified xmlns:dcterms="http://purl.org/dc/terms/" xmlns:xsi="http://www.w3.org/2001/XMLSchema-instance" xsi:type="dcterms:W3CDTF">2026-10-14T23:44:27Z</dcterms:modified>
</cp:coreProperties>
</file>