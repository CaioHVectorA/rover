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4afd35623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a UsinaInfo" sheetId="1" r:id="R7efd1f8876ed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0%"/>
    <x:numFmt numFmtId="202" formatCode="@"/>
    <x:numFmt numFmtId="203" formatCode="&quot;R$ &quot;#,##0.00"/>
    <x:numFmt numFmtId="204" formatCode="0"/>
  </x:numFmts>
  <x:fonts count="10">
    <x:font>
      <x:sz val="11"/>
      <x:name val="Carlito"/>
    </x:font>
    <x:font>
      <x:sz val="11"/>
      <x:color rgb="FF20252B"/>
      <x:name val="Arial"/>
    </x:font>
    <x:font>
      <x:b/>
      <x:sz val="15"/>
      <x:color rgb="FF20252B"/>
      <x:name val="Arial"/>
    </x:font>
    <x:font>
      <x:i/>
      <x:sz val="11"/>
      <x:color rgb="FF20252B"/>
      <x:name val="Arial"/>
    </x:font>
    <x:font>
      <x:b/>
      <x:sz val="11"/>
      <x:color rgb="FFFFFFFF"/>
      <x:name val="Arial"/>
    </x:font>
    <x:font>
      <x:sz val="11"/>
      <x:color rgb="FF1565A7"/>
      <x:name val="Arial"/>
    </x:font>
    <x:font>
      <x:b/>
      <x:sz val="11"/>
      <x:color rgb="FF20252B"/>
      <x:name val="Arial"/>
    </x:font>
    <x:font>
      <x:b/>
      <x:sz val="11"/>
      <x:name val="Arial"/>
    </x:font>
    <x:font>
      <x:b/>
      <x:sz val="13"/>
      <x:color rgb="FF20252B"/>
      <x:name val="Arial"/>
    </x:font>
    <x:font>
      <x:sz val="11"/>
      <x:color rgb="FF1565A7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384553"/>
      </x:patternFill>
    </x:fill>
    <x:fill>
      <x:patternFill patternType="solid">
        <x:fgColor rgb="FFFFF9E8"/>
      </x:patternFill>
    </x:fill>
    <x:fill>
      <x:patternFill patternType="solid">
        <x:fgColor rgb="FFE9EEF3"/>
      </x:patternFill>
    </x:fill>
    <x:fill>
      <x:patternFill patternType="solid">
        <x:fgColor rgb="FF384553"/>
      </x:patternFill>
    </x:fill>
    <x:fill>
      <x:patternFill patternType="solid">
        <x:fgColor rgb="FFFFF9E8"/>
      </x:patternFill>
    </x:fill>
    <x:fill>
      <x:patternFill patternType="solid">
        <x:fgColor rgb="FFE9EEF3"/>
      </x:patternFill>
    </x:fill>
    <x:fill>
      <x:patternFill patternType="solid">
        <x:fgColor rgb="FFFFF2CC"/>
      </x:patternFill>
    </x:fill>
    <x:fill>
      <x:patternFill patternType="solid">
        <x:fgColor rgb="FF384553"/>
      </x:patternFill>
    </x:fill>
    <x:fill>
      <x:patternFill patternType="solid">
        <x:fgColor rgb="FFFFF9E8"/>
      </x:patternFill>
    </x:fill>
    <x:fill>
      <x:patternFill patternType="solid">
        <x:fgColor rgb="FFE0ECDD"/>
      </x:patternFill>
    </x:fill>
    <x:fill>
      <x:patternFill patternType="solid">
        <x:fgColor rgb="FFE9EE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vertical="center"/>
    </x:xf>
    <x:xf numFmtId="204" fontId="6" fillId="5" borderId="0" xfId="0" applyNumberFormat="1" applyFont="1" applyFill="1" applyBorder="1" applyAlignment="1">
      <x:alignment horizontal="right" vertical="center"/>
    </x:xf>
    <x:xf numFmtId="203" fontId="6" fillId="5" borderId="0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/>
    </x:xf>
    <x:xf numFmtId="203" fontId="1" fillId="7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3" fontId="0" fillId="0" borderId="0" xfId="0" applyNumberFormat="1" applyFont="1" applyFill="1" applyBorder="1" applyAlignment="1">
      <x:alignment horizontal="right"/>
    </x:xf>
    <x:xf numFmtId="204" fontId="1" fillId="7" borderId="0" xfId="0" applyNumberFormat="1" applyFont="1" applyFill="1" applyBorder="1" applyAlignment="1">
      <x:alignment horizontal="right"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horizontal="right"/>
    </x:xf>
    <x:xf numFmtId="203" fontId="0" fillId="8" borderId="0" xfId="0" applyNumberFormat="1" applyFont="1" applyFill="1" applyBorder="1" applyAlignment="1">
      <x:alignment horizontal="right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right"/>
    </x:xf>
    <x:xf numFmtId="203" fontId="7" fillId="8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203" fontId="1" fillId="11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6" fillId="13" borderId="0" xfId="0" applyNumberFormat="1" applyFont="1" applyFill="1" applyBorder="1"/>
    <x:xf numFmtId="203" fontId="0" fillId="0" borderId="0" xfId="0" applyNumberFormat="1" applyFont="1" applyFill="1" applyBorder="1"/>
    <x:xf numFmtId="0" fontId="1" fillId="11" borderId="0" xfId="0" applyNumberFormat="1" applyFont="1" applyFill="1" applyBorder="1" applyAlignment="1">
      <x:alignment horizontal="right" vertical="center" wrapText="1"/>
    </x:xf>
    <x:xf numFmtId="203" fontId="1" fillId="11" borderId="0" xfId="0" applyNumberFormat="1" applyFont="1" applyFill="1" applyBorder="1" applyAlignment="1">
      <x:alignment horizontal="right" vertical="center" wrapText="1"/>
    </x:xf>
    <x:xf numFmtId="0" fontId="6" fillId="13" borderId="0" xfId="0" applyNumberFormat="1" applyFont="1" applyFill="1" applyBorder="1" applyAlignment="1">
      <x:alignment horizontal="right"/>
    </x:xf>
    <x:xf numFmtId="203" fontId="6" fillId="13" borderId="0" xfId="0" applyNumberFormat="1" applyFont="1" applyFill="1" applyBorder="1" applyAlignment="1">
      <x:alignment horizontal="right"/>
    </x:xf>
    <x:xf numFmtId="0" fontId="9" fillId="0" borderId="0" xfId="0" applyNumberFormat="1" applyFont="1" applyFill="1" applyBorder="1"/>
  </x:cellXfs>
  <x:cellStyles count="1">
    <x:cellStyle name="Normal" xfId="0"/>
  </x:cellStyles>
  <x:dxfs count="3">
    <x:dxf>
      <x:fill>
        <x:patternFill>
          <x:bgColor rgb="FFE0ECD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8ED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a8c5e4c9948d8" /><Relationship Type="http://schemas.openxmlformats.org/officeDocument/2006/relationships/theme" Target="/xl/theme/theme1.xml" Id="Re6f975a28d3b423f" /><Relationship Type="http://schemas.openxmlformats.org/officeDocument/2006/relationships/sharedStrings" Target="/xl/sharedStrings.xml" Id="R0b7de7853b164880" /><Relationship Type="http://schemas.openxmlformats.org/officeDocument/2006/relationships/worksheet" Target="/xl/worksheets/sheet1.xml" Id="R7efd1f8876ed4b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hyperlink" Target="https://www.usinainfo.com.br/ethernet-e-wifi-arduino/modulo-ethernet-w5500-5469.html" TargetMode="External" Id="R6e676c3cbe4a44f1" /><ns0:Relationship Type="http://schemas.openxmlformats.org/officeDocument/2006/relationships/hyperlink" Target="https://www.usinainfo.com.br/coolers-para-pc/mini-cooler-5v-25x25mm-para-esc-e-projetos-4408.html" TargetMode="External" Id="Rb7673a597700459b" /><ns0:Relationship Type="http://schemas.openxmlformats.org/officeDocument/2006/relationships/hyperlink" Target="https://www.usinainfo.com.br/sensor-de-temperatura/ds18b20-sensor-de-temperatura-digital-2806.html" TargetMode="External" Id="R8476ae30eb0948ef" /><ns0:Relationship Type="http://schemas.openxmlformats.org/officeDocument/2006/relationships/hyperlink" Target="https://www.usinainfo.com.br/acessorios-raspberry-pi/kit-dissipador-de-calor-autoadesivo-raspberry-pi-3-pi-2-b-e-b-em-aluminio-3-unidades-4428.html" TargetMode="External" Id="R67e5ef88fbe14531" /><ns0:Relationship Type="http://schemas.openxmlformats.org/officeDocument/2006/relationships/hyperlink" Target="https://www.usinainfo.com.br/sensor-de-tensao/sensor-de-tensao-dc-0-25v-3425.html" TargetMode="External" Id="R068ef4691bde476f" /><ns0:Relationship Type="http://schemas.openxmlformats.org/officeDocument/2006/relationships/hyperlink" Target="https://www.usinainfo.com.br/display-arduino/display-oled-096-i2c-128x64-branco-5366.html" TargetMode="External" Id="R38a18f159aef40f4" /><ns0:Relationship Type="http://schemas.openxmlformats.org/officeDocument/2006/relationships/hyperlink" Target="https://www.usinainfo.com.br/led-alto-brilho/led-smd-branco-frio-de-alto-brilho-3w-epistar-2788.html" TargetMode="External" Id="Rfdc9bd182d4c412f" /><ns0:Relationship Type="http://schemas.openxmlformats.org/officeDocument/2006/relationships/hyperlink" Target="https://www.usinainfo.com.br/esp32/esp32-s3-devkitc-1-n8r2-8mb-flash-com-wifi-e-bluetooth-com-usb-c-8679.html" TargetMode="External" Id="Rf1fe326b0a3b4fec" /><ns0:Relationship Type="http://schemas.openxmlformats.org/officeDocument/2006/relationships/hyperlink" Target="https://www.usinainfo.com.br/display-arduino/display-tft-lcd-13-spi-rgb-240x240-st7789-5607.html" TargetMode="External" Id="R4238b1457eeb4f44" /><ns0:Relationship Type="http://schemas.openxmlformats.org/officeDocument/2006/relationships/hyperlink" Target="https://www.usinainfo.com.br/joystick-e-controles-ir/joystick-ky023-3-eixos-2305.html" TargetMode="External" Id="Reb0d81d4c2fb4234" /><ns0:Relationship Type="http://schemas.openxmlformats.org/officeDocument/2006/relationships/hyperlink" Target="https://www.usinainfo.com.br/perguntas-frequentes" TargetMode="External" Id="R20497d653ad84487" /><ns0:Relationship Type="http://schemas.openxmlformats.org/officeDocument/2006/relationships/hyperlink" Target="https://www.mercadolivre.com.br/modulo-ethernet-w5500/p/MLB42965922?pdp_filters=shipping%3Afulfillment" TargetMode="External" Id="R7fd2c5761c1c42aa" /><ns0:Relationship Id="roverLink1" Type="http://schemas.openxmlformats.org/officeDocument/2006/relationships/hyperlink" Target="https://www.usinainfo.com.br/ethernet-e-wifi-arduino/modulo-ethernet-w5500-5469.html" TargetMode="External" /><ns0:Relationship Id="roverLink2" Type="http://schemas.openxmlformats.org/officeDocument/2006/relationships/hyperlink" Target="https://www.usinainfo.com.br/coolers-para-pc/mini-cooler-5v-25x25mm-para-esc-e-projetos-4408.html" TargetMode="External" /><ns0:Relationship Id="roverLink3" Type="http://schemas.openxmlformats.org/officeDocument/2006/relationships/hyperlink" Target="https://www.usinainfo.com.br/sensor-de-temperatura/ds18b20-sensor-de-temperatura-digital-2806.html" TargetMode="External" /><ns0:Relationship Id="roverLink4" Type="http://schemas.openxmlformats.org/officeDocument/2006/relationships/hyperlink" Target="https://www.usinainfo.com.br/acessorios-raspberry-pi/kit-dissipador-de-calor-autoadesivo-raspberry-pi-3-pi-2-b-e-b-em-aluminio-3-unidades-4428.html" TargetMode="External" /><ns0:Relationship Id="roverLink5" Type="http://schemas.openxmlformats.org/officeDocument/2006/relationships/hyperlink" Target="https://www.usinainfo.com.br/sensor-de-tensao/sensor-de-tensao-dc-0-25v-3425.html" TargetMode="External" /><ns0:Relationship Id="roverLink6" Type="http://schemas.openxmlformats.org/officeDocument/2006/relationships/hyperlink" Target="https://www.usinainfo.com.br/display-arduino/display-oled-096-i2c-128x64-branco-5366.html" TargetMode="External" /><ns0:Relationship Id="roverLink7" Type="http://schemas.openxmlformats.org/officeDocument/2006/relationships/hyperlink" Target="https://www.usinainfo.com.br/led-alto-brilho/led-smd-branco-frio-de-alto-brilho-3w-epistar-2788.html" TargetMode="External" /><ns0:Relationship Id="roverLink8" Type="http://schemas.openxmlformats.org/officeDocument/2006/relationships/hyperlink" Target="https://www.usinainfo.com.br/esp32/esp32-s3-devkitc-1-n8r2-8mb-flash-com-wifi-e-bluetooth-com-usb-c-8679.html" TargetMode="External" /><ns0:Relationship Id="roverLink9" Type="http://schemas.openxmlformats.org/officeDocument/2006/relationships/hyperlink" Target="https://www.usinainfo.com.br/display-arduino/display-tft-lcd-13-spi-rgb-240x240-st7789-5607.html" TargetMode="External" /><ns0:Relationship Id="roverLink10" Type="http://schemas.openxmlformats.org/officeDocument/2006/relationships/hyperlink" Target="https://www.usinainfo.com.br/joystick-e-controles-ir/joystick-ky023-3-eixos-2305.html" TargetMode="External" /><ns0:Relationship Id="roverLink11" Type="http://schemas.openxmlformats.org/officeDocument/2006/relationships/hyperlink" Target="https://www.usinainfo.com.br/perguntas-frequentes" TargetMode="External" /><ns0:Relationship Id="roverLink12" Type="http://schemas.openxmlformats.org/officeDocument/2006/relationships/hyperlink" Target="https://www.mercadolivre.com.br/modulo-ethernet-w5500/p/MLB42965922?pdp_filters=shipping%3Afulfillment" TargetMode="External" /><ns0:Relationship Id="roverLink13" Type="http://schemas.openxmlformats.org/officeDocument/2006/relationships/hyperlink" Target="https://curtocircuito.com.br/modulo-a7608sa-h-4g-lte-antena-fcp.html" TargetMode="External" /><ns0:Relationship Id="roverLink14" Type="http://schemas.openxmlformats.org/officeDocument/2006/relationships/hyperlink" Target="https://www.mercadolivre.com.br/modulo-gsm-a7608sah-4g-lte-com-antena-fcp/up/MLBU2311204429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12" hidden="0" customWidth="1"/>
    <col min="2" max="2" width="44" hidden="0" customWidth="1"/>
    <col min="3" max="3" width="7" hidden="0" customWidth="1"/>
    <col min="4" max="4" width="16" hidden="0" customWidth="1"/>
    <col min="5" max="5" width="17" hidden="0" customWidth="1"/>
    <col min="6" max="6" width="17" hidden="0" customWidth="1"/>
    <col min="7" max="7" width="17" hidden="0" customWidth="1"/>
    <col min="8" max="8" width="23" hidden="0" customWidth="1"/>
    <col min="9" max="9" width="12" hidden="0" customWidth="1"/>
    <col min="10" max="10" width="17" hidden="0" customWidth="1"/>
    <col min="11" max="11" width="51" hidden="0" customWidth="1"/>
  </cols>
  <sheetData>
    <row r="1">
      <c r="A1" s="2"/>
      <c r="B1" s="2"/>
      <c r="C1" s="2"/>
      <c r="D1" s="2"/>
      <c r="E1" s="2"/>
      <c r="F1" s="2"/>
      <c r="G1" s="2"/>
      <c r="H1" s="2"/>
    </row>
    <row r="2" ht="27" customHeight="1">
      <c r="A2" s="3" t="str">
        <v>Compras Rover — UsinaInfo e expansão 4G</v>
      </c>
      <c r="B2" s="2"/>
      <c r="C2" s="2"/>
      <c r="D2" s="2"/>
      <c r="E2" s="2"/>
      <c r="F2" s="2"/>
      <c r="G2" s="2"/>
      <c r="H2" s="2"/>
    </row>
    <row r="3">
      <c r="A3" s="4" t="str">
        <v>Compra de bancada e expansões futuras — prioridades editáveis</v>
      </c>
      <c r="B3" s="2"/>
      <c r="C3" s="2"/>
      <c r="D3" s="2"/>
      <c r="E3" s="2"/>
      <c r="F3" s="2"/>
      <c r="G3" s="2"/>
      <c r="H3" s="2"/>
    </row>
    <row r="4">
      <c r="A4" s="2" t="str">
        <v>Consulta de preços</v>
      </c>
      <c r="B4" s="5" t="d">
        <v>2026-10-13T12:00:00.000Z</v>
      </c>
      <c r="C4" s="2"/>
      <c r="D4" s="2"/>
      <c r="E4" s="2"/>
      <c r="F4" s="2"/>
      <c r="G4" s="2"/>
      <c r="H4" s="2"/>
    </row>
    <row r="5">
      <c r="A5" s="2" t="str">
        <v>Desconto boleto/depósito</v>
      </c>
      <c r="B5" s="2"/>
      <c r="C5" s="7" t="n">
        <v>0.05</v>
      </c>
      <c r="D5" s="2"/>
      <c r="E5" s="2"/>
      <c r="F5" s="2"/>
      <c r="G5" s="2"/>
      <c r="H5" s="2"/>
    </row>
    <row r="6">
      <c r="A6" s="2"/>
      <c r="B6" s="2"/>
      <c r="C6" s="2"/>
      <c r="D6" s="2"/>
      <c r="E6" s="2"/>
      <c r="F6" s="2"/>
      <c r="G6" s="2"/>
      <c r="H6" s="2"/>
    </row>
    <row r="7" ht="36" customHeight="1">
      <c r="A7" s="31" t="str">
        <v>Código</v>
      </c>
      <c r="B7" s="31" t="str">
        <v>Produto</v>
      </c>
      <c r="C7" s="31" t="str">
        <v>Qtd.</v>
      </c>
      <c r="D7" s="31" t="str">
        <v>Unitário cartão</v>
      </c>
      <c r="E7" s="31" t="str">
        <v>Subtotal cartão</v>
      </c>
      <c r="F7" s="31" t="str">
        <v>Pix/boleto¹</v>
      </c>
      <c r="G7" s="31" t="str">
        <v>Link do produto</v>
      </c>
      <c r="H7" s="31" t="str">
        <v>Anotações</v>
      </c>
      <c r="I7" s="31" t="str">
        <v>Prioridade</v>
      </c>
      <c r="J7" s="31" t="str">
        <v>Situação</v>
      </c>
      <c r="K7" s="31" t="str">
        <v>Uso / compatibilidade</v>
      </c>
    </row>
    <row r="8" ht="54" customHeight="1">
      <c r="A8" s="34" t="str">
        <v>08571</v>
      </c>
      <c r="B8" s="33" t="str">
        <v>Módulo Ethernet W5500 SPI 3,3V RJ45</v>
      </c>
      <c r="C8" s="43" t="n">
        <v>1</v>
      </c>
      <c r="D8" s="40" t="n">
        <v>44.6</v>
      </c>
      <c r="E8" s="41" t="n">
        <f>IF(D8="","",ROUND(C8*D8,2))</f>
        <v>44.6</v>
      </c>
      <c r="F8" s="41" t="n">
        <f>IF(E8="","",ROUND(E8*(1-$C$5),2))</f>
        <v>42.37</v>
      </c>
      <c r="G8" s="36" t="str">
        <v>Abrir produto</v>
      </c>
      <c r="H8" s="33"/>
      <c r="I8" s="33" t="str">
        <v>Baixa</v>
      </c>
      <c r="J8" s="33" t="str">
        <v>Cotado</v>
      </c>
      <c r="K8" s="33" t="str">
        <v>Ethernet cabeado para bancada; UDP também funciona no Wi-Fi atual.</v>
      </c>
    </row>
    <row r="9" ht="54" customHeight="1">
      <c r="A9" s="34" t="str">
        <v>07459</v>
      </c>
      <c r="B9" s="33" t="str">
        <v>Mini ventoinha 5V 25 × 25 × 10 mm</v>
      </c>
      <c r="C9" s="43" t="n">
        <v>1</v>
      </c>
      <c r="D9" s="40" t="n">
        <v>16.97</v>
      </c>
      <c r="E9" s="41" t="n">
        <f>IF(D9="","",ROUND(C9*D9,2))</f>
        <v>16.97</v>
      </c>
      <c r="F9" s="41" t="n">
        <f>IF(E9="","",ROUND(E9*(1-$C$5),2))</f>
        <v>16.12</v>
      </c>
      <c r="G9" s="36" t="str">
        <v>Abrir produto</v>
      </c>
      <c r="H9" s="33"/>
      <c r="I9" s="33" t="str">
        <v>Alta</v>
      </c>
      <c r="J9" s="33" t="str">
        <v>Cotado</v>
      </c>
      <c r="K9" s="33" t="str">
        <v>Validar espaço e montagem atrás da câmera.</v>
      </c>
    </row>
    <row r="10" ht="54" customHeight="1">
      <c r="A10" s="34" t="str">
        <v>06077</v>
      </c>
      <c r="B10" s="33" t="str">
        <v>DS18B20 — sensor de temperatura digital</v>
      </c>
      <c r="C10" s="43" t="n">
        <v>2</v>
      </c>
      <c r="D10" s="40" t="n">
        <v>15.34</v>
      </c>
      <c r="E10" s="41" t="n">
        <f>IF(D10="","",ROUND(C10*D10,2))</f>
        <v>30.68</v>
      </c>
      <c r="F10" s="41" t="n">
        <f>IF(E10="","",ROUND(E10*(1-$C$5),2))</f>
        <v>29.15</v>
      </c>
      <c r="G10" s="36" t="str">
        <v>Abrir produto</v>
      </c>
      <c r="H10" s="33"/>
      <c r="I10" s="33" t="str">
        <v>Alta</v>
      </c>
      <c r="J10" s="33" t="str">
        <v>Cotado</v>
      </c>
      <c r="K10" s="33" t="str">
        <v>Um sensor na região quente e outro como referência ambiente.</v>
      </c>
    </row>
    <row r="11" ht="54" customHeight="1">
      <c r="A11" s="34" t="str">
        <v>07479</v>
      </c>
      <c r="B11" s="33" t="str">
        <v>Kit de 3 dissipadores autoadesivos</v>
      </c>
      <c r="C11" s="43" t="n">
        <v>1</v>
      </c>
      <c r="D11" s="40" t="n">
        <v>3.6</v>
      </c>
      <c r="E11" s="41" t="n">
        <f>IF(D11="","",ROUND(C11*D11,2))</f>
        <v>3.6</v>
      </c>
      <c r="F11" s="41" t="n">
        <f>IF(E11="","",ROUND(E11*(1-$C$5),2))</f>
        <v>3.42</v>
      </c>
      <c r="G11" s="36" t="str">
        <v>Abrir produto</v>
      </c>
      <c r="H11" s="33"/>
      <c r="I11" s="33" t="str">
        <v>Alta</v>
      </c>
      <c r="J11" s="33" t="str">
        <v>Cotado</v>
      </c>
      <c r="K11" s="33" t="str">
        <v>Kit com 3 peças; validar contato térmico e isolamento.</v>
      </c>
    </row>
    <row r="12" ht="54" customHeight="1">
      <c r="A12" s="34" t="str">
        <v>06731</v>
      </c>
      <c r="B12" s="33" t="str">
        <v>Sensor de tensão DC 0–25 V (divisor 5:1)</v>
      </c>
      <c r="C12" s="43" t="n">
        <v>1</v>
      </c>
      <c r="D12" s="40" t="n">
        <v>4.95</v>
      </c>
      <c r="E12" s="41" t="n">
        <f>IF(D12="","",ROUND(C12*D12,2))</f>
        <v>4.95</v>
      </c>
      <c r="F12" s="41" t="n">
        <f>IF(E12="","",ROUND(E12*(1-$C$5),2))</f>
        <v>4.7</v>
      </c>
      <c r="G12" s="36" t="str">
        <v>Abrir produto</v>
      </c>
      <c r="H12" s="33"/>
      <c r="I12" s="33" t="str">
        <v>Alta</v>
      </c>
      <c r="J12" s="33" t="str">
        <v>Cotado</v>
      </c>
      <c r="K12" s="33" t="str">
        <v>Ler no Nano; calibrar com multímetro. Tensão não dá % exata da bateria.</v>
      </c>
    </row>
    <row r="13" ht="54" customHeight="1">
      <c r="A13" s="34" t="str">
        <v>08483</v>
      </c>
      <c r="B13" s="33" t="str">
        <v>OLED 0,96” I²C 128×64 — bateria</v>
      </c>
      <c r="C13" s="43" t="n">
        <v>1</v>
      </c>
      <c r="D13" s="40" t="n">
        <v>24.3</v>
      </c>
      <c r="E13" s="41" t="n">
        <f>IF(D13="","",ROUND(C13*D13,2))</f>
        <v>24.3</v>
      </c>
      <c r="F13" s="41" t="n">
        <f>IF(E13="","",ROUND(E13*(1-$C$5),2))</f>
        <v>23.09</v>
      </c>
      <c r="G13" s="36" t="str">
        <v>Abrir produto</v>
      </c>
      <c r="H13" s="33"/>
      <c r="I13" s="33" t="str">
        <v>Média</v>
      </c>
      <c r="J13" s="33" t="str">
        <v>Cotado</v>
      </c>
      <c r="K13" s="33" t="str">
        <v>No Nano: SDA A4 / SCL A5. Conferir pinos livres e consumo de RAM.</v>
      </c>
    </row>
    <row r="14" ht="54" customHeight="1">
      <c r="A14" s="34" t="str"/>
      <c r="B14" s="33" t="str">
        <v>Cartão microSD 32 GB Classe 10 / U1</v>
      </c>
      <c r="C14" s="43" t="n">
        <v>1</v>
      </c>
      <c r="D14" s="40"/>
      <c r="E14" s="41" t="str">
        <f>IF(D14="","",ROUND(C14*D14,2))</f>
      </c>
      <c r="F14" s="41" t="str">
        <f>IF(E14="","",ROUND(E14*(1-$C$5),2))</f>
      </c>
      <c r="G14" s="36" t="str"/>
      <c r="H14" s="33"/>
      <c r="I14" s="33" t="str">
        <v>Alta</v>
      </c>
      <c r="J14" s="33" t="str">
        <v>A cotar</v>
      </c>
      <c r="K14" s="33" t="str">
        <v>Cartão para logs/fotos. Não localizado na UsinaInfo; confirmar slot e pinagem da placa.</v>
      </c>
    </row>
    <row r="15" ht="54" customHeight="1">
      <c r="A15" s="34" t="str"/>
      <c r="B15" s="33" t="str">
        <v>LED branco de potência 3 W — farol</v>
      </c>
      <c r="C15" s="43" t="n">
        <v>1</v>
      </c>
      <c r="D15" s="40"/>
      <c r="E15" s="41" t="str">
        <f>IF(D15="","",ROUND(C15*D15,2))</f>
      </c>
      <c r="F15" s="41" t="str">
        <f>IF(E15="","",ROUND(E15*(1-$C$5),2))</f>
      </c>
      <c r="G15" s="36" t="str">
        <v>Abrir produto</v>
      </c>
      <c r="H15" s="33"/>
      <c r="I15" s="33" t="str">
        <v>Média</v>
      </c>
      <c r="J15" s="33" t="str">
        <v>Indisponível</v>
      </c>
      <c r="K15" s="33" t="str">
        <v>3,3–3,6 V / até 700 mA. Farol separado termicamente da câmera.</v>
      </c>
    </row>
    <row r="16" ht="54" customHeight="1">
      <c r="A16" s="34" t="str"/>
      <c r="B16" s="33" t="str">
        <v>Driver LED de corrente constante com DIM/PWM</v>
      </c>
      <c r="C16" s="43" t="n">
        <v>1</v>
      </c>
      <c r="D16" s="40"/>
      <c r="E16" s="41" t="str">
        <f>IF(D16="","",ROUND(C16*D16,2))</f>
      </c>
      <c r="F16" s="41" t="str">
        <f>IF(E16="","",ROUND(E16*(1-$C$5),2))</f>
      </c>
      <c r="G16" s="36" t="str"/>
      <c r="H16" s="33"/>
      <c r="I16" s="33" t="str">
        <v>Média</v>
      </c>
      <c r="J16" s="33" t="str">
        <v>A definir</v>
      </c>
      <c r="K16" s="33" t="str">
        <v>Compatível com 2S (faixa real da bateria) e LED 3 W. XL4015 exige ≥8 V: inadequado.</v>
      </c>
    </row>
    <row r="17" ht="54" customHeight="1">
      <c r="A17" s="34" t="str"/>
      <c r="B17" s="33" t="str">
        <v>Dissipador dedicado + fixação para LED 3 W</v>
      </c>
      <c r="C17" s="43" t="n">
        <v>1</v>
      </c>
      <c r="D17" s="40"/>
      <c r="E17" s="41" t="str">
        <f>IF(D17="","",ROUND(C17*D17,2))</f>
      </c>
      <c r="F17" s="41" t="str">
        <f>IF(E17="","",ROUND(E17*(1-$C$5),2))</f>
      </c>
      <c r="G17" s="36" t="str"/>
      <c r="H17" s="33"/>
      <c r="I17" s="33" t="str">
        <v>Média</v>
      </c>
      <c r="J17" s="33" t="str">
        <v>A definir</v>
      </c>
      <c r="K17" s="33" t="str">
        <v>Dimensionar pela temperatura; kit pequeno da câmera não está validado para o farol.</v>
      </c>
    </row>
    <row r="18" ht="54" customHeight="1">
      <c r="A18" s="34" t="str"/>
      <c r="B18" s="33" t="str">
        <v>Receptor FlySky compatível com controle existente</v>
      </c>
      <c r="C18" s="43" t="n">
        <v>1</v>
      </c>
      <c r="D18" s="40"/>
      <c r="E18" s="41" t="str">
        <f>IF(D18="","",ROUND(C18*D18,2))</f>
      </c>
      <c r="F18" s="41" t="str">
        <f>IF(E18="","",ROUND(E18*(1-$C$5),2))</f>
      </c>
      <c r="G18" s="36" t="str"/>
      <c r="H18" s="33"/>
      <c r="I18" s="33" t="str">
        <v>Média</v>
      </c>
      <c r="J18" s="33" t="str">
        <v>A definir</v>
      </c>
      <c r="K18" s="33" t="str">
        <v>Modelo do controle ainda desconhecido. Confirmar AFHDS/AFHDS 2A; integrar ao Nano/TB6612.</v>
      </c>
    </row>
    <row r="19" ht="54" customHeight="1">
      <c r="A19" s="34" t="str">
        <v>10092</v>
      </c>
      <c r="B19" s="33" t="str">
        <v>ESP32-S3 DevKitC-1 N8R2 — controle futuro</v>
      </c>
      <c r="C19" s="43" t="n">
        <v>1</v>
      </c>
      <c r="D19" s="40" t="n">
        <v>62.8</v>
      </c>
      <c r="E19" s="41" t="n">
        <f>IF(D19="","",ROUND(C19*D19,2))</f>
        <v>62.8</v>
      </c>
      <c r="F19" s="41" t="n">
        <f>IF(E19="","",ROUND(E19*(1-$C$5),2))</f>
        <v>59.66</v>
      </c>
      <c r="G19" s="36" t="str">
        <v>Abrir produto</v>
      </c>
      <c r="H19" s="33"/>
      <c r="I19" s="33" t="str">
        <v>Baixa</v>
      </c>
      <c r="J19" s="33" t="str">
        <v>Cotado</v>
      </c>
      <c r="K19" s="33" t="str">
        <v>Controle próprio por Wi-Fi/ESP-NOW; vídeo exige Wi-Fi e firmware JPEG/TFT.</v>
      </c>
    </row>
    <row r="20" ht="54" customHeight="1">
      <c r="A20" s="34" t="str">
        <v>08712</v>
      </c>
      <c r="B20" s="33" t="str">
        <v>TFT 1,3” ST7789 SPI 240×240 — controle</v>
      </c>
      <c r="C20" s="43" t="n">
        <v>1</v>
      </c>
      <c r="D20" s="40" t="n">
        <v>34.7</v>
      </c>
      <c r="E20" s="41" t="n">
        <f>IF(D20="","",ROUND(C20*D20,2))</f>
        <v>34.7</v>
      </c>
      <c r="F20" s="41" t="n">
        <f>IF(E20="","",ROUND(E20*(1-$C$5),2))</f>
        <v>32.97</v>
      </c>
      <c r="G20" s="36" t="str">
        <v>Abrir produto</v>
      </c>
      <c r="H20" s="33"/>
      <c r="I20" s="33" t="str">
        <v>Baixa</v>
      </c>
      <c r="J20" s="33" t="str">
        <v>Cotado</v>
      </c>
      <c r="K20" s="33" t="str">
        <v>Tela colorida para controle e possível prévia; desempenho de vídeo não validado.</v>
      </c>
    </row>
    <row r="21" ht="54" customHeight="1">
      <c r="A21" s="34" t="str">
        <v>05623</v>
      </c>
      <c r="B21" s="33" t="str">
        <v>Joystick KY-023 / HW-504 — controle futuro</v>
      </c>
      <c r="C21" s="43" t="n">
        <v>2</v>
      </c>
      <c r="D21" s="40" t="n">
        <v>5.95</v>
      </c>
      <c r="E21" s="41" t="n">
        <f>IF(D21="","",ROUND(C21*D21,2))</f>
        <v>11.9</v>
      </c>
      <c r="F21" s="41" t="n">
        <f>IF(E21="","",ROUND(E21*(1-$C$5),2))</f>
        <v>11.31</v>
      </c>
      <c r="G21" s="36" t="str">
        <v>Abrir produto</v>
      </c>
      <c r="H21" s="33"/>
      <c r="I21" s="33" t="str">
        <v>Baixa</v>
      </c>
      <c r="J21" s="33" t="str">
        <v>Cotado</v>
      </c>
      <c r="K21" s="33" t="str">
        <v>Dois joysticks para tração e pan/tilt; alimentar em 3,3 V quando usar no ESP.</v>
      </c>
    </row>
    <row r="22">
      <c r="C22" s="39"/>
      <c r="D22" s="42"/>
      <c r="E22" s="42"/>
      <c r="F22" s="42"/>
    </row>
    <row r="23" ht="30" customHeight="1">
      <c r="A23" s="47"/>
      <c r="B23" s="47" t="str">
        <v>Total dos itens cotados</v>
      </c>
      <c r="C23" s="48"/>
      <c r="D23" s="49"/>
      <c r="E23" s="49" t="n">
        <f>SUM(E8:E21)</f>
        <v>234.49999999999997</v>
      </c>
      <c r="F23" s="49" t="n">
        <f>SUM(F8:F21)</f>
        <v>222.79</v>
      </c>
      <c r="G23" s="47"/>
      <c r="H23" s="47"/>
      <c r="I23" s="47"/>
      <c r="J23" s="47"/>
      <c r="K23" s="47"/>
    </row>
    <row r="24">
      <c r="B24" t="str">
        <v>Prioridade alta — cotados</v>
      </c>
      <c r="C24" s="39"/>
      <c r="D24" s="42"/>
      <c r="E24" s="42" t="n">
        <f>SUMIF(I8:I21,"Alta",E8:E21)</f>
        <v>56.2</v>
      </c>
      <c r="F24" s="42" t="n">
        <f>SUMIF(I8:I21,"Alta",F8:F21)</f>
        <v>53.39</v>
      </c>
    </row>
    <row r="25">
      <c r="B25" t="str">
        <v>Prioridade média — cotados</v>
      </c>
      <c r="C25" s="39"/>
      <c r="D25" s="42"/>
      <c r="E25" s="42" t="n">
        <f>SUMIF(I8:I21,"Média",E8:E21)</f>
        <v>24.3</v>
      </c>
      <c r="F25" s="42" t="n">
        <f>SUMIF(I8:I21,"Média",F8:F21)</f>
        <v>23.09</v>
      </c>
    </row>
    <row r="26">
      <c r="B26" t="str">
        <v>Prioridade baixa — cotados</v>
      </c>
      <c r="C26" s="39"/>
      <c r="D26" s="42"/>
      <c r="E26" s="42" t="n">
        <f>SUMIF(I8:I21,"Baixa",E8:E21)</f>
        <v>154.00000000000003</v>
      </c>
      <c r="F26" s="42" t="n">
        <f>SUMIF(I8:I21,"Baixa",F8:F21)</f>
        <v>146.31</v>
      </c>
    </row>
    <row r="27">
      <c r="C27" s="39"/>
      <c r="D27" s="42"/>
      <c r="E27" s="42"/>
      <c r="F27" s="42"/>
    </row>
    <row r="28" ht="23" customHeight="1">
      <c r="A28" t="str">
        <v>¹ Desconto de 5% editável em C5. Frete não incluído; preços consultados em 13/10/2026.</v>
      </c>
    </row>
    <row r="29" ht="23" customHeight="1">
      <c r="A29" t="str">
        <v>5 itens sem preço: farol completo, cartão microSD e receptor. Total acima é parcial.</v>
      </c>
    </row>
    <row r="30" ht="23" customHeight="1">
      <c r="A30" t="str">
        <v>NF-e em todas as vendas, conforme a UsinaInfo.</v>
      </c>
      <c r="G30" t="str">
        <v>Política de NF-e</v>
      </c>
    </row>
    <row r="31" ht="23" customHeight="1"/>
    <row r="32" ht="23" customHeight="1">
      <c r="A32" t="str">
        <v>Alternativa Ethernet no Mercado Livre: W5500 Full por R$ 57,00; fora dos totais da UsinaInfo.</v>
      </c>
      <c r="G32" t="str">
        <v>Oferta ML Full</v>
      </c>
    </row>
    <row r="33" ht="23" customHeight="1">
      <c r="A33" t="str">
        <v>ESC não é receptor. Manter TB6612; compatibilidade e failsafe do rádio ainda precisam ser validados.</v>
      </c>
    </row>
    <row r="34" ht="23" customHeight="1">
      <c r="A34" t="str">
        <v>O LED 10 W da loja pede 10–12 V; não incluído por exigir outra alimentação e mais dissipação.</v>
      </c>
    </row>
    <row r="35">
      <c r="A35" s="50" t="str">
        <v>Expansão 4G — Curto Circuito</v>
      </c>
    </row>
    <row r="36">
      <c r="A36" t="str">
        <v>Desconto Pix/boleto da loja</v>
      </c>
      <c r="C36" s="52" t="n">
        <v>0.1</v>
      </c>
    </row>
    <row r="37" ht="36" customHeight="1">
      <c r="A37" s="57" t="str">
        <v>Código</v>
      </c>
      <c r="B37" s="57" t="str">
        <v>Produto</v>
      </c>
      <c r="C37" s="57" t="str">
        <v>Qtd.</v>
      </c>
      <c r="D37" s="57" t="str">
        <v>Unitário cartão</v>
      </c>
      <c r="E37" s="57" t="str">
        <v>Subtotal cartão</v>
      </c>
      <c r="F37" s="57" t="str">
        <v>Pix/boleto</v>
      </c>
      <c r="G37" s="57" t="str">
        <v>Link do produto</v>
      </c>
      <c r="H37" s="57" t="str">
        <v>Anotações</v>
      </c>
      <c r="I37" s="57" t="str">
        <v>Prioridade</v>
      </c>
      <c r="J37" s="57" t="str">
        <v>Situação</v>
      </c>
      <c r="K37" s="57" t="str">
        <v>Uso / compatibilidade</v>
      </c>
    </row>
    <row r="38" ht="54" customHeight="1">
      <c r="A38" s="34" t="str">
        <v>0000000018609</v>
      </c>
      <c r="B38" s="33" t="str">
        <v>A7608SA-H LTE Cat-4 + antena LTE</v>
      </c>
      <c r="C38" s="66" t="n">
        <v>1</v>
      </c>
      <c r="D38" s="67" t="n">
        <v>448</v>
      </c>
      <c r="E38" s="41" t="n">
        <f>ROUND(C38*D38,2)</f>
        <v>448</v>
      </c>
      <c r="F38" s="41" t="n">
        <f>ROUND(E38*(1-$C$36),2)</f>
        <v>403.2</v>
      </c>
      <c r="G38" s="36" t="str">
        <v>Abrir produto</v>
      </c>
      <c r="H38" s="33"/>
      <c r="I38" s="59" t="str">
        <v>Alta</v>
      </c>
      <c r="J38" s="33" t="str">
        <v>Em estoque</v>
      </c>
      <c r="K38" s="33" t="str">
        <v>Uso futuro. Placa 5–16 V, USB/UART. Confirmar USB/PPP e alimentação na S3-CAM.</v>
      </c>
    </row>
    <row r="39" ht="30" customHeight="1">
      <c r="A39" s="61"/>
      <c r="B39" s="61" t="str">
        <v>Total Curto Circuito</v>
      </c>
      <c r="C39" s="68"/>
      <c r="D39" s="69"/>
      <c r="E39" s="69" t="n">
        <f>SUM(E38:E38)</f>
        <v>448</v>
      </c>
      <c r="F39" s="69" t="n">
        <f>SUM(F38:F38)</f>
        <v>403.2</v>
      </c>
      <c r="G39" s="61"/>
      <c r="H39" s="61"/>
      <c r="I39" s="61"/>
      <c r="J39" s="61"/>
      <c r="K39" s="61"/>
    </row>
    <row r="40">
      <c r="C40" s="39"/>
      <c r="D40" s="42"/>
      <c r="E40" s="42"/>
      <c r="F40" s="42"/>
    </row>
    <row r="41" ht="30" customHeight="1">
      <c r="A41" s="61"/>
      <c r="B41" s="61" t="str">
        <v>Total geral cotado</v>
      </c>
      <c r="C41" s="68"/>
      <c r="D41" s="69"/>
      <c r="E41" s="69" t="n">
        <f>E23+E39</f>
        <v>682.5</v>
      </c>
      <c r="F41" s="69" t="n">
        <f>F23+F39</f>
        <v>625.99</v>
      </c>
      <c r="G41" s="61"/>
      <c r="H41" s="61"/>
      <c r="I41" s="61"/>
      <c r="J41" s="61"/>
      <c r="K41" s="61"/>
    </row>
    <row r="43" ht="23" customHeight="1">
      <c r="A43" t="str">
        <v>4G: frete e plano de dados não incluídos. Chip/plano, cabo e integração ainda a definir.</v>
      </c>
    </row>
    <row r="44" ht="23" customHeight="1">
      <c r="A44" t="str">
        <v>Alternativa ML: R$ 427,51, loja oficial Curto Circuito, NF informada; Full não confirmado.</v>
      </c>
      <c r="G44" s="70" t="str">
        <v>Anúncio ML</v>
      </c>
    </row>
    <row r="45" ht="23" customHeight="1">
      <c r="A45" t="str">
        <v>A oferta do ML é alternativa ao mesmo modem: não somada novamente ao total.</v>
      </c>
    </row>
  </sheetData>
  <conditionalFormatting sqref="I8:I21">
    <cfRule type="containsText" dxfId="0" priority="1" operator="containsText" text="Alta"/>
    <cfRule type="containsText" dxfId="1" priority="2" operator="containsText" text="Média"/>
    <cfRule type="containsText" dxfId="2" priority="3" operator="containsText" text="Baixa"/>
  </conditionalFormatting>
  <dataValidations count="2">
    <dataValidation type="list" sqref="I8:I21">
      <formula1>"Alta,Média,Baixa"</formula1>
    </dataValidation>
    <dataValidation type="list" sqref="I38">
      <formula1>"Alta,Média,Baixa"</formula1>
    </dataValidation>
  </dataValidations>
  <hyperlinks>
    <hyperlink ref="G8" r:id="roverLink1"/>
    <hyperlink ref="G9" r:id="roverLink2"/>
    <hyperlink ref="G10" r:id="roverLink3"/>
    <hyperlink ref="G11" r:id="roverLink4"/>
    <hyperlink ref="G12" r:id="roverLink5"/>
    <hyperlink ref="G13" r:id="roverLink6"/>
    <hyperlink ref="G15" r:id="roverLink7"/>
    <hyperlink ref="G19" r:id="roverLink8"/>
    <hyperlink ref="G20" r:id="roverLink9"/>
    <hyperlink ref="G21" r:id="roverLink10"/>
    <hyperlink ref="G30" r:id="roverLink11"/>
    <hyperlink ref="G32" r:id="roverLink12"/>
    <hyperlink ref="G38" r:id="roverLink13"/>
    <hyperlink ref="G44" r:id="roverLink14"/>
  </hyperlinks>
  <pageMargins left="0.7" right="0.7" top="0.75" bottom="0.75" header="0.3" footer="0.3"/>
</worksheet>
</file>