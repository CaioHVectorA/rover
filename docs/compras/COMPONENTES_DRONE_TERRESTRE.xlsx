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ihe\Documents\develop\rover\"/>
    </mc:Choice>
  </mc:AlternateContent>
  <xr:revisionPtr revIDLastSave="0" documentId="13_ncr:1_{BB503C47-9CB1-4F12-8295-4ED0E7245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ver ESP32-S3" sheetId="1" r:id="rId1"/>
    <sheet name="Rover Raspberry Pi 3" sheetId="2" r:id="rId2"/>
  </sheets>
  <calcPr calcId="181029"/>
</workbook>
</file>

<file path=xl/calcChain.xml><?xml version="1.0" encoding="utf-8"?>
<calcChain xmlns="http://schemas.openxmlformats.org/spreadsheetml/2006/main">
  <c r="F21" i="2" l="1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  <c r="G23" i="2" l="1"/>
  <c r="G24" i="2"/>
  <c r="G19" i="1"/>
  <c r="G20" i="1"/>
</calcChain>
</file>

<file path=xl/sharedStrings.xml><?xml version="1.0" encoding="utf-8"?>
<sst xmlns="http://schemas.openxmlformats.org/spreadsheetml/2006/main" count="133" uniqueCount="36">
  <si>
    <t>Item</t>
  </si>
  <si>
    <t>Produto</t>
  </si>
  <si>
    <t>Loja</t>
  </si>
  <si>
    <t>Qtd</t>
  </si>
  <si>
    <t>Preço Unitário (R$)</t>
  </si>
  <si>
    <t>Preço à Vista PIX (R$)</t>
  </si>
  <si>
    <t>Subtotal à Vista (R$)</t>
  </si>
  <si>
    <t>Opcional (0/1)</t>
  </si>
  <si>
    <t>Link Direto</t>
  </si>
  <si>
    <t>Micro Servo 9g SG90 (TowerPro)</t>
  </si>
  <si>
    <t>RoboCore</t>
  </si>
  <si>
    <t>Abrir Produto</t>
  </si>
  <si>
    <t>Micro Motor DC 6V 100RPM Redução Metal</t>
  </si>
  <si>
    <t>StickyMAX - Roda S20 Macia 22mm</t>
  </si>
  <si>
    <t>Suporte para Micro Motores (Par Branco)</t>
  </si>
  <si>
    <t>Módulo Driver Ponte H - L298N (Driver 1)</t>
  </si>
  <si>
    <t>Módulo Driver Ponte H - L298N (Driver 2)</t>
  </si>
  <si>
    <t>Conversor DC/DC Step Down Mini 560 5V (5A)</t>
  </si>
  <si>
    <t>Pack Bateria Li-Ion 7,4V 2500mAh com BMS</t>
  </si>
  <si>
    <t>Cabo JST-RCY 2 pinos Fêmea</t>
  </si>
  <si>
    <t>Módulo Buzzer 5V Passivo</t>
  </si>
  <si>
    <t>Módulo WS2812 LED RGB (Barra 8 LEDs)</t>
  </si>
  <si>
    <t>Chave Gangorra KCD1-101 2T</t>
  </si>
  <si>
    <t>Jumpers Fêmea-Fêmea x40 Unidades</t>
  </si>
  <si>
    <t>Jumpers Macho-Macho x40 Cabos</t>
  </si>
  <si>
    <t>Placa Nano V3 + Cabo USB</t>
  </si>
  <si>
    <t>Placa ESP32-S3 CAM N16R8 + Câmera OV5640 5MP</t>
  </si>
  <si>
    <t>Mercado Livre</t>
  </si>
  <si>
    <t>Cartão MicroSD 32GB Sandisk Ultra A1</t>
  </si>
  <si>
    <t>Módulo Giroscópio MPU-6050 GY-521 (VR)</t>
  </si>
  <si>
    <t>Total Essencial (sem opcionais) - à vista no PIX</t>
  </si>
  <si>
    <t>TOTAL GERAL (com opcionais) - à vista no PIX</t>
  </si>
  <si>
    <t>Câmera para Raspberry Pi Rev 1.3 (5MP)</t>
  </si>
  <si>
    <t>Suporte Pan/Tilt para Câmera Raspberry Pi</t>
  </si>
  <si>
    <t>Raspberry Pi 3 Model B (se não possuir)</t>
  </si>
  <si>
    <t>Cartão MicroSD 64GB Sandisk Ultra A1 Classe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</si>
</sst>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0"/>
      <color rgb="FF0563C1"/>
      <name val="Calibri"/>
    </font>
    <font>
      <b/>
      <sz val="11"/>
      <color rgb="FF375623"/>
      <name val="Calibri"/>
    </font>
    <font>
      <b/>
      <sz val="12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F0D9"/>
        <bgColor rgb="FFE2F0D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">
    <dxf>
      <fill>
        <patternFill patternType="solid">
          <fgColor rgb="FFFFF9E6"/>
          <bgColor rgb="FFFFF9E6"/>
        </patternFill>
      </fill>
    </dxf>
    <dxf>
      <fill>
        <patternFill patternType="solid">
          <fgColor rgb="FFFFF9E6"/>
          <bgColor rgb="FFFFF9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core.net/cabo/cabo-jst-rcy-2-pinos-femea" TargetMode="External"/><Relationship Id="rId13" Type="http://schemas.openxmlformats.org/officeDocument/2006/relationships/hyperlink" Target="https://www.robocore.net/cabo/jumpers-macho-macho-x40-cabos" TargetMode="External"/><Relationship Id="rId3" Type="http://schemas.openxmlformats.org/officeDocument/2006/relationships/hyperlink" Target="https://www.robocore.net/roda/roda-stickymax-s20-22mm" TargetMode="External"/><Relationship Id="rId7" Type="http://schemas.openxmlformats.org/officeDocument/2006/relationships/hyperlink" Target="https://www.robocore.net/baterias-fontes/pack-bateria-li-ion-7_4v-2500mah-com-bms" TargetMode="External"/><Relationship Id="rId12" Type="http://schemas.openxmlformats.org/officeDocument/2006/relationships/hyperlink" Target="https://www.robocore.net/cabo/jumpers-femea-femea-x40-unidades" TargetMode="External"/><Relationship Id="rId17" Type="http://schemas.openxmlformats.org/officeDocument/2006/relationships/hyperlink" Target="https://www.mercadolivre.com.br/modulo-acelerometro-giroscopio-mpu6050-gy521/up/MLBU4448831937" TargetMode="External"/><Relationship Id="rId2" Type="http://schemas.openxmlformats.org/officeDocument/2006/relationships/hyperlink" Target="https://www.robocore.net/motor-caixas-de-reducao/micro-motor-com-caixa-de-reducao-6v-100rpm" TargetMode="External"/><Relationship Id="rId16" Type="http://schemas.openxmlformats.org/officeDocument/2006/relationships/hyperlink" Target="https://www.mercadolivre.com.br/cartao-de-memoria-micro-sd-sandisk-ultra-32gb-120mbs-c10-a1/p/MLB20654826" TargetMode="External"/><Relationship Id="rId1" Type="http://schemas.openxmlformats.org/officeDocument/2006/relationships/hyperlink" Target="https://www.robocore.net/atuador/micro-servo-9g-sg90-towerpro" TargetMode="External"/><Relationship Id="rId6" Type="http://schemas.openxmlformats.org/officeDocument/2006/relationships/hyperlink" Target="https://www.robocore.net/regulador-de-tensao/conversor-dc-dc-step-down-mini-560-5v" TargetMode="External"/><Relationship Id="rId11" Type="http://schemas.openxmlformats.org/officeDocument/2006/relationships/hyperlink" Target="https://www.robocore.net/botao-chave/chave-gangorra-kcd1-101-2t" TargetMode="External"/><Relationship Id="rId5" Type="http://schemas.openxmlformats.org/officeDocument/2006/relationships/hyperlink" Target="https://www.robocore.net/driver-motor/driver-motor-ponte-h-l298n" TargetMode="External"/><Relationship Id="rId15" Type="http://schemas.openxmlformats.org/officeDocument/2006/relationships/hyperlink" Target="https://www.mercadolivre.com.br/p/MLB2061307865?matt_tool=38524122&amp;pdp_filters=item_id:MLB5139266661" TargetMode="External"/><Relationship Id="rId10" Type="http://schemas.openxmlformats.org/officeDocument/2006/relationships/hyperlink" Target="https://www.robocore.net/led/modulo-ws2812-led-enderecavel-8-leds" TargetMode="External"/><Relationship Id="rId4" Type="http://schemas.openxmlformats.org/officeDocument/2006/relationships/hyperlink" Target="https://www.robocore.net/item-mecanico/suporte-para-micro-motores" TargetMode="External"/><Relationship Id="rId9" Type="http://schemas.openxmlformats.org/officeDocument/2006/relationships/hyperlink" Target="https://www.robocore.net/atuador/modulo-buzzer-5v-passivo" TargetMode="External"/><Relationship Id="rId14" Type="http://schemas.openxmlformats.org/officeDocument/2006/relationships/hyperlink" Target="https://www.robocore.net/placa-arduino/placa-nano-v3-com-cabo-usb-para-arduin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core.net/driver-motor/driver-motor-ponte-h-l298n" TargetMode="External"/><Relationship Id="rId13" Type="http://schemas.openxmlformats.org/officeDocument/2006/relationships/hyperlink" Target="https://www.robocore.net/led/modulo-ws2812-led-enderecavel-8-leds" TargetMode="External"/><Relationship Id="rId18" Type="http://schemas.openxmlformats.org/officeDocument/2006/relationships/hyperlink" Target="https://www.mercadolivre.com.br/raspberry-pi3-pi-3-model-b-quadcore-12ghz/p/MLB42963336" TargetMode="External"/><Relationship Id="rId3" Type="http://schemas.openxmlformats.org/officeDocument/2006/relationships/hyperlink" Target="https://www.robocore.net/item-mecanico/suporte-pan-tilt-para-camera-raspberry-pi" TargetMode="External"/><Relationship Id="rId7" Type="http://schemas.openxmlformats.org/officeDocument/2006/relationships/hyperlink" Target="https://www.robocore.net/driver-motor/driver-motor-ponte-h-l298n" TargetMode="External"/><Relationship Id="rId12" Type="http://schemas.openxmlformats.org/officeDocument/2006/relationships/hyperlink" Target="https://www.robocore.net/atuador/modulo-buzzer-5v-passivo" TargetMode="External"/><Relationship Id="rId17" Type="http://schemas.openxmlformats.org/officeDocument/2006/relationships/hyperlink" Target="https://www.robocore.net/placa-arduino/placa-nano-v3-com-cabo-usb-para-arduino" TargetMode="External"/><Relationship Id="rId2" Type="http://schemas.openxmlformats.org/officeDocument/2006/relationships/hyperlink" Target="https://www.robocore.net/acessorios-raspberry-pi/camera-para-raspberry-pi-rev-1-3" TargetMode="External"/><Relationship Id="rId16" Type="http://schemas.openxmlformats.org/officeDocument/2006/relationships/hyperlink" Target="https://www.robocore.net/cabo/jumpers-macho-macho-x40-cabos" TargetMode="External"/><Relationship Id="rId20" Type="http://schemas.openxmlformats.org/officeDocument/2006/relationships/hyperlink" Target="https://www.mercadolivre.com.br/modulo-acelerometro-giroscopio-mpu6050-gy521/up/MLBU4448831937" TargetMode="External"/><Relationship Id="rId1" Type="http://schemas.openxmlformats.org/officeDocument/2006/relationships/hyperlink" Target="https://www.robocore.net/atuador/micro-servo-9g-sg90-towerpro" TargetMode="External"/><Relationship Id="rId6" Type="http://schemas.openxmlformats.org/officeDocument/2006/relationships/hyperlink" Target="https://www.robocore.net/item-mecanico/suporte-para-micro-motores" TargetMode="External"/><Relationship Id="rId11" Type="http://schemas.openxmlformats.org/officeDocument/2006/relationships/hyperlink" Target="https://www.robocore.net/cabo/cabo-jst-rcy-2-pinos-femea" TargetMode="External"/><Relationship Id="rId5" Type="http://schemas.openxmlformats.org/officeDocument/2006/relationships/hyperlink" Target="https://www.robocore.net/roda/roda-stickymax-s20-22mm" TargetMode="External"/><Relationship Id="rId15" Type="http://schemas.openxmlformats.org/officeDocument/2006/relationships/hyperlink" Target="https://www.robocore.net/cabo/jumpers-femea-femea-x40-unidades" TargetMode="External"/><Relationship Id="rId10" Type="http://schemas.openxmlformats.org/officeDocument/2006/relationships/hyperlink" Target="https://www.robocore.net/baterias-fontes/pack-bateria-li-ion-7_4v-2500mah-com-bms" TargetMode="External"/><Relationship Id="rId19" Type="http://schemas.openxmlformats.org/officeDocument/2006/relationships/hyperlink" Target="https://www.mercadolivre.com.br/memoria-microsd-profissional-sandisk-ultra-64gb-120-mbs-a1/p/MLB23033439" TargetMode="External"/><Relationship Id="rId4" Type="http://schemas.openxmlformats.org/officeDocument/2006/relationships/hyperlink" Target="https://www.robocore.net/motor-caixas-de-reducao/micro-motor-com-caixa-de-reducao-6v-100rpm" TargetMode="External"/><Relationship Id="rId9" Type="http://schemas.openxmlformats.org/officeDocument/2006/relationships/hyperlink" Target="https://www.robocore.net/regulador-de-tensao/conversor-dc-dc-step-down-mini-560-5v" TargetMode="External"/><Relationship Id="rId14" Type="http://schemas.openxmlformats.org/officeDocument/2006/relationships/hyperlink" Target="https://www.robocore.net/botao-chave/chave-gangorra-kcd1-101-2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5" sqref="B15"/>
    </sheetView>
  </sheetViews>
  <sheetFormatPr defaultRowHeight="15" x14ac:dyDescent="0.25"/>
  <cols>
    <col min="1" max="1" width="7" customWidth="1"/>
    <col min="2" max="2" width="56" customWidth="1"/>
    <col min="3" max="3" width="16" customWidth="1"/>
    <col min="4" max="4" width="7" customWidth="1"/>
    <col min="5" max="5" width="20" customWidth="1"/>
    <col min="6" max="6" width="24" customWidth="1"/>
    <col min="7" max="7" width="20" customWidth="1"/>
    <col min="8" max="8" width="14" customWidth="1"/>
    <col min="9" max="9" width="16" customWidth="1"/>
  </cols>
  <sheetData>
    <row r="1" spans="1:9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2">
        <v>1</v>
      </c>
      <c r="B2" s="3" t="s">
        <v>9</v>
      </c>
      <c r="C2" s="2" t="s">
        <v>10</v>
      </c>
      <c r="D2" s="2">
        <v>2</v>
      </c>
      <c r="E2" s="4">
        <v>13.67</v>
      </c>
      <c r="F2" s="4">
        <f t="shared" ref="F2:F6" si="0">IF(OR(C2="RoboCore", C2="Robo Core"), ROUND(E2*0.95, 2), E2)</f>
        <v>12.99</v>
      </c>
      <c r="G2" s="4">
        <f t="shared" ref="G2:G6" si="1">D2*F2</f>
        <v>25.98</v>
      </c>
      <c r="H2" s="2">
        <v>0</v>
      </c>
      <c r="I2" s="5" t="s">
        <v>11</v>
      </c>
    </row>
    <row r="3" spans="1:9" ht="20.100000000000001" customHeight="1" x14ac:dyDescent="0.25">
      <c r="A3" s="2">
        <v>2</v>
      </c>
      <c r="B3" s="3" t="s">
        <v>12</v>
      </c>
      <c r="C3" s="2" t="s">
        <v>10</v>
      </c>
      <c r="D3" s="2">
        <v>4</v>
      </c>
      <c r="E3" s="4">
        <v>29.9</v>
      </c>
      <c r="F3" s="4">
        <f t="shared" si="0"/>
        <v>28.41</v>
      </c>
      <c r="G3" s="4">
        <f t="shared" si="1"/>
        <v>113.64</v>
      </c>
      <c r="H3" s="2">
        <v>0</v>
      </c>
      <c r="I3" s="5" t="s">
        <v>11</v>
      </c>
    </row>
    <row r="4" spans="1:9" ht="20.100000000000001" customHeight="1" x14ac:dyDescent="0.25">
      <c r="A4" s="2">
        <v>3</v>
      </c>
      <c r="B4" s="3" t="s">
        <v>13</v>
      </c>
      <c r="C4" s="2" t="s">
        <v>10</v>
      </c>
      <c r="D4" s="2">
        <v>4</v>
      </c>
      <c r="E4" s="4">
        <v>39.9</v>
      </c>
      <c r="F4" s="4">
        <f t="shared" si="0"/>
        <v>37.909999999999997</v>
      </c>
      <c r="G4" s="4">
        <f t="shared" si="1"/>
        <v>151.63999999999999</v>
      </c>
      <c r="H4" s="2">
        <v>0</v>
      </c>
      <c r="I4" s="5" t="s">
        <v>11</v>
      </c>
    </row>
    <row r="5" spans="1:9" ht="20.100000000000001" customHeight="1" x14ac:dyDescent="0.25">
      <c r="A5" s="2">
        <v>4</v>
      </c>
      <c r="B5" s="3" t="s">
        <v>14</v>
      </c>
      <c r="C5" s="2" t="s">
        <v>10</v>
      </c>
      <c r="D5" s="2">
        <v>2</v>
      </c>
      <c r="E5" s="4">
        <v>9.9</v>
      </c>
      <c r="F5" s="4">
        <f t="shared" si="0"/>
        <v>9.41</v>
      </c>
      <c r="G5" s="4">
        <f t="shared" si="1"/>
        <v>18.82</v>
      </c>
      <c r="H5" s="2">
        <v>0</v>
      </c>
      <c r="I5" s="5" t="s">
        <v>11</v>
      </c>
    </row>
    <row r="6" spans="1:9" ht="20.100000000000001" customHeight="1" x14ac:dyDescent="0.25">
      <c r="A6" s="2">
        <v>5</v>
      </c>
      <c r="B6" s="3" t="s">
        <v>15</v>
      </c>
      <c r="C6" s="2" t="s">
        <v>10</v>
      </c>
      <c r="D6" s="2">
        <v>1</v>
      </c>
      <c r="E6" s="4">
        <v>14.9</v>
      </c>
      <c r="F6" s="4">
        <f t="shared" si="0"/>
        <v>14.16</v>
      </c>
      <c r="G6" s="4">
        <f t="shared" si="1"/>
        <v>14.16</v>
      </c>
      <c r="H6" s="2">
        <v>0</v>
      </c>
      <c r="I6" s="5" t="s">
        <v>11</v>
      </c>
    </row>
    <row r="7" spans="1:9" ht="20.100000000000001" customHeight="1" x14ac:dyDescent="0.25">
      <c r="A7" s="2">
        <v>6</v>
      </c>
      <c r="B7" s="3" t="s">
        <v>17</v>
      </c>
      <c r="C7" s="2" t="s">
        <v>10</v>
      </c>
      <c r="D7" s="2">
        <v>1</v>
      </c>
      <c r="E7" s="4">
        <v>7.5</v>
      </c>
      <c r="F7" s="4">
        <f>IF(OR(C7="RoboCore", C7="Robo Core"), ROUND(E7*0.95, 2), E7)</f>
        <v>7.13</v>
      </c>
      <c r="G7" s="4">
        <f>D7*F7</f>
        <v>7.13</v>
      </c>
      <c r="H7" s="2">
        <v>0</v>
      </c>
      <c r="I7" s="5" t="s">
        <v>11</v>
      </c>
    </row>
    <row r="8" spans="1:9" ht="20.100000000000001" customHeight="1" x14ac:dyDescent="0.25">
      <c r="A8" s="2">
        <v>7</v>
      </c>
      <c r="B8" s="3" t="s">
        <v>18</v>
      </c>
      <c r="C8" s="2" t="s">
        <v>10</v>
      </c>
      <c r="D8" s="2">
        <v>1</v>
      </c>
      <c r="E8" s="4">
        <v>69.900000000000006</v>
      </c>
      <c r="F8" s="4">
        <f>IF(OR(C8="RoboCore", C8="Robo Core"), ROUND(E8*0.95, 2), E8)</f>
        <v>66.41</v>
      </c>
      <c r="G8" s="4">
        <f>D8*F8</f>
        <v>66.41</v>
      </c>
      <c r="H8" s="2">
        <v>0</v>
      </c>
      <c r="I8" s="5" t="s">
        <v>11</v>
      </c>
    </row>
    <row r="9" spans="1:9" ht="20.100000000000001" customHeight="1" x14ac:dyDescent="0.25">
      <c r="A9" s="2">
        <v>8</v>
      </c>
      <c r="B9" s="3" t="s">
        <v>19</v>
      </c>
      <c r="C9" s="2" t="s">
        <v>10</v>
      </c>
      <c r="D9" s="2">
        <v>1</v>
      </c>
      <c r="E9" s="4">
        <v>1.9</v>
      </c>
      <c r="F9" s="4">
        <f>IF(OR(C9="RoboCore", C9="Robo Core"), ROUND(E9*0.95, 2), E9)</f>
        <v>1.81</v>
      </c>
      <c r="G9" s="4">
        <f>D9*F9</f>
        <v>1.81</v>
      </c>
      <c r="H9" s="2">
        <v>0</v>
      </c>
      <c r="I9" s="5" t="s">
        <v>11</v>
      </c>
    </row>
    <row r="10" spans="1:9" ht="20.100000000000001" customHeight="1" x14ac:dyDescent="0.25">
      <c r="A10" s="2">
        <v>9</v>
      </c>
      <c r="B10" s="3" t="s">
        <v>20</v>
      </c>
      <c r="C10" s="2" t="s">
        <v>10</v>
      </c>
      <c r="D10" s="2">
        <v>1</v>
      </c>
      <c r="E10" s="4">
        <v>4.9000000000000004</v>
      </c>
      <c r="F10" s="4">
        <f>IF(OR(C10="RoboCore", C10="Robo Core"), ROUND(E10*0.95, 2), E10)</f>
        <v>4.66</v>
      </c>
      <c r="G10" s="4">
        <f>D10*F10</f>
        <v>4.66</v>
      </c>
      <c r="H10" s="2">
        <v>1</v>
      </c>
      <c r="I10" s="5" t="s">
        <v>11</v>
      </c>
    </row>
    <row r="11" spans="1:9" ht="20.100000000000001" customHeight="1" x14ac:dyDescent="0.25">
      <c r="A11" s="2">
        <v>10</v>
      </c>
      <c r="B11" s="3" t="s">
        <v>21</v>
      </c>
      <c r="C11" s="2" t="s">
        <v>10</v>
      </c>
      <c r="D11" s="2">
        <v>1</v>
      </c>
      <c r="E11" s="4">
        <v>9.9</v>
      </c>
      <c r="F11" s="4">
        <f>IF(OR(C11="RoboCore", C11="Robo Core"), ROUND(E11*0.95, 2), E11)</f>
        <v>9.41</v>
      </c>
      <c r="G11" s="4">
        <f>D11*F11</f>
        <v>9.41</v>
      </c>
      <c r="H11" s="2">
        <v>1</v>
      </c>
      <c r="I11" s="5" t="s">
        <v>11</v>
      </c>
    </row>
    <row r="12" spans="1:9" ht="20.100000000000001" customHeight="1" x14ac:dyDescent="0.25">
      <c r="A12" s="2">
        <v>11</v>
      </c>
      <c r="B12" s="3" t="s">
        <v>22</v>
      </c>
      <c r="C12" s="2" t="s">
        <v>10</v>
      </c>
      <c r="D12" s="2">
        <v>1</v>
      </c>
      <c r="E12" s="4">
        <v>1.5</v>
      </c>
      <c r="F12" s="4">
        <f>IF(OR(C12="RoboCore", C12="Robo Core"), ROUND(E12*0.95, 2), E12)</f>
        <v>1.43</v>
      </c>
      <c r="G12" s="4">
        <f>D12*F12</f>
        <v>1.43</v>
      </c>
      <c r="H12" s="2">
        <v>0</v>
      </c>
      <c r="I12" s="5" t="s">
        <v>11</v>
      </c>
    </row>
    <row r="13" spans="1:9" ht="20.100000000000001" customHeight="1" x14ac:dyDescent="0.25">
      <c r="A13" s="2">
        <v>12</v>
      </c>
      <c r="B13" s="3" t="s">
        <v>23</v>
      </c>
      <c r="C13" s="2" t="s">
        <v>10</v>
      </c>
      <c r="D13" s="2">
        <v>1</v>
      </c>
      <c r="E13" s="4">
        <v>6.9</v>
      </c>
      <c r="F13" s="4">
        <f>IF(OR(C13="RoboCore", C13="Robo Core"), ROUND(E13*0.95, 2), E13)</f>
        <v>6.56</v>
      </c>
      <c r="G13" s="4">
        <f>D13*F13</f>
        <v>6.56</v>
      </c>
      <c r="H13" s="2">
        <v>1</v>
      </c>
      <c r="I13" s="5" t="s">
        <v>11</v>
      </c>
    </row>
    <row r="14" spans="1:9" ht="20.100000000000001" customHeight="1" x14ac:dyDescent="0.25">
      <c r="A14" s="2">
        <v>13</v>
      </c>
      <c r="B14" s="3" t="s">
        <v>24</v>
      </c>
      <c r="C14" s="2" t="s">
        <v>10</v>
      </c>
      <c r="D14" s="2">
        <v>1</v>
      </c>
      <c r="E14" s="4">
        <v>7.9</v>
      </c>
      <c r="F14" s="4">
        <f>IF(OR(C14="RoboCore", C14="Robo Core"), ROUND(E14*0.95, 2), E14)</f>
        <v>7.51</v>
      </c>
      <c r="G14" s="4">
        <f>D14*F14</f>
        <v>7.51</v>
      </c>
      <c r="H14" s="2">
        <v>1</v>
      </c>
      <c r="I14" s="5" t="s">
        <v>11</v>
      </c>
    </row>
    <row r="15" spans="1:9" ht="20.100000000000001" customHeight="1" x14ac:dyDescent="0.25">
      <c r="A15" s="2">
        <v>14</v>
      </c>
      <c r="B15" s="3" t="s">
        <v>25</v>
      </c>
      <c r="C15" s="2" t="s">
        <v>10</v>
      </c>
      <c r="D15" s="2">
        <v>1</v>
      </c>
      <c r="E15" s="4">
        <v>28.9</v>
      </c>
      <c r="F15" s="4">
        <f>IF(OR(C15="RoboCore", C15="Robo Core"), ROUND(E15*0.95, 2), E15)</f>
        <v>27.46</v>
      </c>
      <c r="G15" s="4">
        <f>D15*F15</f>
        <v>27.46</v>
      </c>
      <c r="H15" s="2">
        <v>0</v>
      </c>
      <c r="I15" s="5" t="s">
        <v>11</v>
      </c>
    </row>
    <row r="16" spans="1:9" ht="20.100000000000001" customHeight="1" x14ac:dyDescent="0.25">
      <c r="A16" s="2">
        <v>15</v>
      </c>
      <c r="B16" s="3" t="s">
        <v>26</v>
      </c>
      <c r="C16" s="2" t="s">
        <v>27</v>
      </c>
      <c r="D16" s="2">
        <v>1</v>
      </c>
      <c r="E16" s="4">
        <v>119</v>
      </c>
      <c r="F16" s="4">
        <f>IF(OR(C16="RoboCore", C16="Robo Core"), ROUND(E16*0.95, 2), E16)</f>
        <v>119</v>
      </c>
      <c r="G16" s="4">
        <f>D16*F16</f>
        <v>119</v>
      </c>
      <c r="H16" s="2">
        <v>0</v>
      </c>
      <c r="I16" s="5" t="s">
        <v>11</v>
      </c>
    </row>
    <row r="17" spans="1:9" ht="20.100000000000001" customHeight="1" x14ac:dyDescent="0.25">
      <c r="A17" s="2">
        <v>16</v>
      </c>
      <c r="B17" s="3" t="s">
        <v>28</v>
      </c>
      <c r="C17" s="2" t="s">
        <v>27</v>
      </c>
      <c r="D17" s="2">
        <v>1</v>
      </c>
      <c r="E17" s="4">
        <v>49.9</v>
      </c>
      <c r="F17" s="4">
        <f>IF(OR(C17="RoboCore", C17="Robo Core"), ROUND(E17*0.95, 2), E17)</f>
        <v>49.9</v>
      </c>
      <c r="G17" s="4">
        <f>D17*F17</f>
        <v>49.9</v>
      </c>
      <c r="H17" s="2">
        <v>1</v>
      </c>
      <c r="I17" s="5" t="s">
        <v>11</v>
      </c>
    </row>
    <row r="18" spans="1:9" ht="20.100000000000001" customHeight="1" x14ac:dyDescent="0.25">
      <c r="A18" s="2">
        <v>28</v>
      </c>
      <c r="B18" s="3" t="s">
        <v>29</v>
      </c>
      <c r="C18" s="2" t="s">
        <v>27</v>
      </c>
      <c r="D18" s="2">
        <v>1</v>
      </c>
      <c r="E18" s="4">
        <v>19.899999999999999</v>
      </c>
      <c r="F18" s="4">
        <f>IF(OR(C18="RoboCore", C18="Robo Core"), ROUND(E18*0.95, 2), E18)</f>
        <v>19.899999999999999</v>
      </c>
      <c r="G18" s="4">
        <f>D18*F18</f>
        <v>19.899999999999999</v>
      </c>
      <c r="H18" s="2">
        <v>1</v>
      </c>
      <c r="I18" s="5" t="s">
        <v>11</v>
      </c>
    </row>
    <row r="19" spans="1:9" ht="20.100000000000001" customHeight="1" x14ac:dyDescent="0.25">
      <c r="A19" s="7"/>
      <c r="B19" s="7" t="s">
        <v>30</v>
      </c>
      <c r="C19" s="7"/>
      <c r="D19" s="7"/>
      <c r="E19" s="7"/>
      <c r="F19" s="7"/>
      <c r="G19" s="8">
        <f>SUMIF(H$2:H$18, 0, G$2:G$18)</f>
        <v>547.48</v>
      </c>
      <c r="H19" s="7"/>
      <c r="I19" s="7"/>
    </row>
    <row r="20" spans="1:9" ht="23.25" customHeight="1" thickBot="1" x14ac:dyDescent="0.3">
      <c r="A20" s="9"/>
      <c r="B20" s="9" t="s">
        <v>31</v>
      </c>
      <c r="C20" s="9"/>
      <c r="D20" s="9"/>
      <c r="E20" s="9"/>
      <c r="F20" s="9"/>
      <c r="G20" s="10">
        <f>SUM(G$2:G$18)</f>
        <v>645.41999999999996</v>
      </c>
      <c r="H20" s="9"/>
      <c r="I20" s="9"/>
    </row>
    <row r="21" spans="1:9" ht="24" customHeight="1" thickTop="1" x14ac:dyDescent="0.25"/>
    <row r="22" spans="1:9" ht="24" customHeight="1" x14ac:dyDescent="0.25"/>
  </sheetData>
  <conditionalFormatting sqref="A2:I18">
    <cfRule type="expression" dxfId="1" priority="1">
      <formula>$H2=1</formula>
    </cfRule>
  </conditionalFormatting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6000000}"/>
    <hyperlink ref="I8" r:id="rId7" xr:uid="{00000000-0004-0000-0000-000007000000}"/>
    <hyperlink ref="I9" r:id="rId8" xr:uid="{00000000-0004-0000-0000-000008000000}"/>
    <hyperlink ref="I10" r:id="rId9" xr:uid="{00000000-0004-0000-0000-000009000000}"/>
    <hyperlink ref="I11" r:id="rId10" xr:uid="{00000000-0004-0000-0000-00000A000000}"/>
    <hyperlink ref="I12" r:id="rId11" xr:uid="{00000000-0004-0000-0000-00000B000000}"/>
    <hyperlink ref="I13" r:id="rId12" xr:uid="{00000000-0004-0000-0000-00000C000000}"/>
    <hyperlink ref="I14" r:id="rId13" xr:uid="{00000000-0004-0000-0000-00000D000000}"/>
    <hyperlink ref="I15" r:id="rId14" xr:uid="{00000000-0004-0000-0000-00000E000000}"/>
    <hyperlink ref="I16" r:id="rId15" xr:uid="{00000000-0004-0000-0000-00000F000000}"/>
    <hyperlink ref="I17" r:id="rId16" xr:uid="{00000000-0004-0000-0000-000010000000}"/>
    <hyperlink ref="I18" r:id="rId17" xr:uid="{00000000-0004-0000-0000-00001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/>
  </sheetViews>
  <sheetFormatPr defaultRowHeight="15" x14ac:dyDescent="0.25"/>
  <cols>
    <col min="1" max="1" width="7" customWidth="1"/>
    <col min="2" max="2" width="56" customWidth="1"/>
    <col min="3" max="3" width="16" customWidth="1"/>
    <col min="4" max="4" width="7" customWidth="1"/>
    <col min="5" max="5" width="20" customWidth="1"/>
    <col min="6" max="6" width="24" customWidth="1"/>
    <col min="7" max="7" width="20" customWidth="1"/>
    <col min="8" max="8" width="14" customWidth="1"/>
    <col min="9" max="9" width="16" customWidth="1"/>
  </cols>
  <sheetData>
    <row r="1" spans="1:9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2">
        <v>1</v>
      </c>
      <c r="B2" s="3" t="s">
        <v>9</v>
      </c>
      <c r="C2" s="2" t="s">
        <v>10</v>
      </c>
      <c r="D2" s="2">
        <v>2</v>
      </c>
      <c r="E2" s="4">
        <v>13.67</v>
      </c>
      <c r="F2" s="4">
        <f t="shared" ref="F2:F21" si="0">IF(OR(C2="RoboCore", C2="Robo Core"), ROUND(E2*0.95, 2), E2)</f>
        <v>12.99</v>
      </c>
      <c r="G2" s="4">
        <f t="shared" ref="G2:G21" si="1">D2*F2</f>
        <v>25.98</v>
      </c>
      <c r="H2" s="2">
        <v>0</v>
      </c>
      <c r="I2" s="5" t="s">
        <v>11</v>
      </c>
    </row>
    <row r="3" spans="1:9" ht="20.100000000000001" customHeight="1" x14ac:dyDescent="0.25">
      <c r="A3" s="2">
        <v>2</v>
      </c>
      <c r="B3" s="3" t="s">
        <v>32</v>
      </c>
      <c r="C3" s="2" t="s">
        <v>10</v>
      </c>
      <c r="D3" s="2">
        <v>1</v>
      </c>
      <c r="E3" s="4">
        <v>49.9</v>
      </c>
      <c r="F3" s="4">
        <f t="shared" si="0"/>
        <v>47.41</v>
      </c>
      <c r="G3" s="4">
        <f t="shared" si="1"/>
        <v>47.41</v>
      </c>
      <c r="H3" s="2">
        <v>0</v>
      </c>
      <c r="I3" s="5" t="s">
        <v>11</v>
      </c>
    </row>
    <row r="4" spans="1:9" ht="20.100000000000001" customHeight="1" x14ac:dyDescent="0.25">
      <c r="A4" s="2">
        <v>3</v>
      </c>
      <c r="B4" s="3" t="s">
        <v>33</v>
      </c>
      <c r="C4" s="2" t="s">
        <v>10</v>
      </c>
      <c r="D4" s="2">
        <v>1</v>
      </c>
      <c r="E4" s="4">
        <v>6.9</v>
      </c>
      <c r="F4" s="4">
        <f t="shared" si="0"/>
        <v>6.56</v>
      </c>
      <c r="G4" s="4">
        <f t="shared" si="1"/>
        <v>6.56</v>
      </c>
      <c r="H4" s="2">
        <v>0</v>
      </c>
      <c r="I4" s="5" t="s">
        <v>11</v>
      </c>
    </row>
    <row r="5" spans="1:9" ht="20.100000000000001" customHeight="1" x14ac:dyDescent="0.25">
      <c r="A5" s="2">
        <v>4</v>
      </c>
      <c r="B5" s="3" t="s">
        <v>12</v>
      </c>
      <c r="C5" s="2" t="s">
        <v>10</v>
      </c>
      <c r="D5" s="2">
        <v>4</v>
      </c>
      <c r="E5" s="4">
        <v>29.9</v>
      </c>
      <c r="F5" s="4">
        <f t="shared" si="0"/>
        <v>28.41</v>
      </c>
      <c r="G5" s="4">
        <f t="shared" si="1"/>
        <v>113.64</v>
      </c>
      <c r="H5" s="2">
        <v>0</v>
      </c>
      <c r="I5" s="5" t="s">
        <v>11</v>
      </c>
    </row>
    <row r="6" spans="1:9" ht="20.100000000000001" customHeight="1" x14ac:dyDescent="0.25">
      <c r="A6" s="2">
        <v>5</v>
      </c>
      <c r="B6" s="3" t="s">
        <v>13</v>
      </c>
      <c r="C6" s="2" t="s">
        <v>10</v>
      </c>
      <c r="D6" s="2">
        <v>4</v>
      </c>
      <c r="E6" s="4">
        <v>39.9</v>
      </c>
      <c r="F6" s="4">
        <f t="shared" si="0"/>
        <v>37.909999999999997</v>
      </c>
      <c r="G6" s="4">
        <f t="shared" si="1"/>
        <v>151.63999999999999</v>
      </c>
      <c r="H6" s="2">
        <v>0</v>
      </c>
      <c r="I6" s="5" t="s">
        <v>11</v>
      </c>
    </row>
    <row r="7" spans="1:9" ht="20.100000000000001" customHeight="1" x14ac:dyDescent="0.25">
      <c r="A7" s="2">
        <v>6</v>
      </c>
      <c r="B7" s="3" t="s">
        <v>14</v>
      </c>
      <c r="C7" s="2" t="s">
        <v>10</v>
      </c>
      <c r="D7" s="2">
        <v>2</v>
      </c>
      <c r="E7" s="4">
        <v>9.9</v>
      </c>
      <c r="F7" s="4">
        <f t="shared" si="0"/>
        <v>9.41</v>
      </c>
      <c r="G7" s="4">
        <f t="shared" si="1"/>
        <v>18.82</v>
      </c>
      <c r="H7" s="2">
        <v>0</v>
      </c>
      <c r="I7" s="5" t="s">
        <v>11</v>
      </c>
    </row>
    <row r="8" spans="1:9" ht="20.100000000000001" customHeight="1" x14ac:dyDescent="0.25">
      <c r="A8" s="2">
        <v>7</v>
      </c>
      <c r="B8" s="3" t="s">
        <v>15</v>
      </c>
      <c r="C8" s="2" t="s">
        <v>10</v>
      </c>
      <c r="D8" s="2">
        <v>1</v>
      </c>
      <c r="E8" s="4">
        <v>14.9</v>
      </c>
      <c r="F8" s="4">
        <f t="shared" si="0"/>
        <v>14.16</v>
      </c>
      <c r="G8" s="4">
        <f t="shared" si="1"/>
        <v>14.16</v>
      </c>
      <c r="H8" s="2">
        <v>0</v>
      </c>
      <c r="I8" s="5" t="s">
        <v>11</v>
      </c>
    </row>
    <row r="9" spans="1:9" ht="20.100000000000001" customHeight="1" x14ac:dyDescent="0.25">
      <c r="A9" s="2">
        <v>8</v>
      </c>
      <c r="B9" s="3" t="s">
        <v>16</v>
      </c>
      <c r="C9" s="2" t="s">
        <v>10</v>
      </c>
      <c r="D9" s="2">
        <v>1</v>
      </c>
      <c r="E9" s="4">
        <v>14.9</v>
      </c>
      <c r="F9" s="4">
        <f t="shared" si="0"/>
        <v>14.16</v>
      </c>
      <c r="G9" s="4">
        <f t="shared" si="1"/>
        <v>14.16</v>
      </c>
      <c r="H9" s="2">
        <v>0</v>
      </c>
      <c r="I9" s="5" t="s">
        <v>11</v>
      </c>
    </row>
    <row r="10" spans="1:9" ht="20.100000000000001" customHeight="1" x14ac:dyDescent="0.25">
      <c r="A10" s="2">
        <v>9</v>
      </c>
      <c r="B10" s="3" t="s">
        <v>17</v>
      </c>
      <c r="C10" s="2" t="s">
        <v>10</v>
      </c>
      <c r="D10" s="2">
        <v>1</v>
      </c>
      <c r="E10" s="4">
        <v>7.5</v>
      </c>
      <c r="F10" s="4">
        <f t="shared" si="0"/>
        <v>7.13</v>
      </c>
      <c r="G10" s="4">
        <f t="shared" si="1"/>
        <v>7.13</v>
      </c>
      <c r="H10" s="2">
        <v>0</v>
      </c>
      <c r="I10" s="5" t="s">
        <v>11</v>
      </c>
    </row>
    <row r="11" spans="1:9" ht="20.100000000000001" customHeight="1" x14ac:dyDescent="0.25">
      <c r="A11" s="2">
        <v>10</v>
      </c>
      <c r="B11" s="3" t="s">
        <v>18</v>
      </c>
      <c r="C11" s="2" t="s">
        <v>10</v>
      </c>
      <c r="D11" s="2">
        <v>1</v>
      </c>
      <c r="E11" s="4">
        <v>69.900000000000006</v>
      </c>
      <c r="F11" s="4">
        <f t="shared" si="0"/>
        <v>66.41</v>
      </c>
      <c r="G11" s="4">
        <f t="shared" si="1"/>
        <v>66.41</v>
      </c>
      <c r="H11" s="2">
        <v>0</v>
      </c>
      <c r="I11" s="5" t="s">
        <v>11</v>
      </c>
    </row>
    <row r="12" spans="1:9" ht="20.100000000000001" customHeight="1" x14ac:dyDescent="0.25">
      <c r="A12" s="2">
        <v>11</v>
      </c>
      <c r="B12" s="3" t="s">
        <v>19</v>
      </c>
      <c r="C12" s="2" t="s">
        <v>10</v>
      </c>
      <c r="D12" s="2">
        <v>1</v>
      </c>
      <c r="E12" s="4">
        <v>1.9</v>
      </c>
      <c r="F12" s="4">
        <f t="shared" si="0"/>
        <v>1.81</v>
      </c>
      <c r="G12" s="4">
        <f t="shared" si="1"/>
        <v>1.81</v>
      </c>
      <c r="H12" s="2">
        <v>0</v>
      </c>
      <c r="I12" s="5" t="s">
        <v>11</v>
      </c>
    </row>
    <row r="13" spans="1:9" ht="20.100000000000001" customHeight="1" x14ac:dyDescent="0.25">
      <c r="A13" s="2">
        <v>12</v>
      </c>
      <c r="B13" s="3" t="s">
        <v>20</v>
      </c>
      <c r="C13" s="2" t="s">
        <v>10</v>
      </c>
      <c r="D13" s="2">
        <v>1</v>
      </c>
      <c r="E13" s="4">
        <v>4.9000000000000004</v>
      </c>
      <c r="F13" s="4">
        <f t="shared" si="0"/>
        <v>4.66</v>
      </c>
      <c r="G13" s="4">
        <f t="shared" si="1"/>
        <v>4.66</v>
      </c>
      <c r="H13" s="2">
        <v>1</v>
      </c>
      <c r="I13" s="5" t="s">
        <v>11</v>
      </c>
    </row>
    <row r="14" spans="1:9" ht="20.100000000000001" customHeight="1" x14ac:dyDescent="0.25">
      <c r="A14" s="2">
        <v>13</v>
      </c>
      <c r="B14" s="3" t="s">
        <v>21</v>
      </c>
      <c r="C14" s="2" t="s">
        <v>10</v>
      </c>
      <c r="D14" s="2">
        <v>1</v>
      </c>
      <c r="E14" s="4">
        <v>9.9</v>
      </c>
      <c r="F14" s="4">
        <f t="shared" si="0"/>
        <v>9.41</v>
      </c>
      <c r="G14" s="4">
        <f t="shared" si="1"/>
        <v>9.41</v>
      </c>
      <c r="H14" s="2">
        <v>1</v>
      </c>
      <c r="I14" s="5" t="s">
        <v>11</v>
      </c>
    </row>
    <row r="15" spans="1:9" ht="20.100000000000001" customHeight="1" x14ac:dyDescent="0.25">
      <c r="A15" s="2">
        <v>14</v>
      </c>
      <c r="B15" s="3" t="s">
        <v>22</v>
      </c>
      <c r="C15" s="2" t="s">
        <v>10</v>
      </c>
      <c r="D15" s="2">
        <v>1</v>
      </c>
      <c r="E15" s="4">
        <v>1.5</v>
      </c>
      <c r="F15" s="4">
        <f t="shared" si="0"/>
        <v>1.43</v>
      </c>
      <c r="G15" s="4">
        <f t="shared" si="1"/>
        <v>1.43</v>
      </c>
      <c r="H15" s="2">
        <v>0</v>
      </c>
      <c r="I15" s="5" t="s">
        <v>11</v>
      </c>
    </row>
    <row r="16" spans="1:9" ht="20.100000000000001" customHeight="1" x14ac:dyDescent="0.25">
      <c r="A16" s="2">
        <v>15</v>
      </c>
      <c r="B16" s="3" t="s">
        <v>23</v>
      </c>
      <c r="C16" s="2" t="s">
        <v>10</v>
      </c>
      <c r="D16" s="2">
        <v>1</v>
      </c>
      <c r="E16" s="4">
        <v>6.9</v>
      </c>
      <c r="F16" s="4">
        <f t="shared" si="0"/>
        <v>6.56</v>
      </c>
      <c r="G16" s="4">
        <f t="shared" si="1"/>
        <v>6.56</v>
      </c>
      <c r="H16" s="2">
        <v>0</v>
      </c>
      <c r="I16" s="5" t="s">
        <v>11</v>
      </c>
    </row>
    <row r="17" spans="1:9" ht="20.100000000000001" customHeight="1" x14ac:dyDescent="0.25">
      <c r="A17" s="2">
        <v>16</v>
      </c>
      <c r="B17" s="3" t="s">
        <v>24</v>
      </c>
      <c r="C17" s="2" t="s">
        <v>10</v>
      </c>
      <c r="D17" s="2">
        <v>1</v>
      </c>
      <c r="E17" s="4">
        <v>7.9</v>
      </c>
      <c r="F17" s="4">
        <f t="shared" si="0"/>
        <v>7.51</v>
      </c>
      <c r="G17" s="4">
        <f t="shared" si="1"/>
        <v>7.51</v>
      </c>
      <c r="H17" s="2">
        <v>0</v>
      </c>
      <c r="I17" s="5" t="s">
        <v>11</v>
      </c>
    </row>
    <row r="18" spans="1:9" ht="20.100000000000001" customHeight="1" x14ac:dyDescent="0.25">
      <c r="A18" s="2">
        <v>17</v>
      </c>
      <c r="B18" s="3" t="s">
        <v>25</v>
      </c>
      <c r="C18" s="2" t="s">
        <v>10</v>
      </c>
      <c r="D18" s="2">
        <v>1</v>
      </c>
      <c r="E18" s="4">
        <v>28.9</v>
      </c>
      <c r="F18" s="4">
        <f t="shared" si="0"/>
        <v>27.46</v>
      </c>
      <c r="G18" s="4">
        <f t="shared" si="1"/>
        <v>27.46</v>
      </c>
      <c r="H18" s="2">
        <v>0</v>
      </c>
      <c r="I18" s="5" t="s">
        <v>11</v>
      </c>
    </row>
    <row r="19" spans="1:9" ht="20.100000000000001" customHeight="1" x14ac:dyDescent="0.25">
      <c r="A19" s="2">
        <v>18</v>
      </c>
      <c r="B19" s="3" t="s">
        <v>34</v>
      </c>
      <c r="C19" s="2" t="s">
        <v>27</v>
      </c>
      <c r="D19" s="2">
        <v>1</v>
      </c>
      <c r="E19" s="4">
        <v>389</v>
      </c>
      <c r="F19" s="4">
        <f t="shared" si="0"/>
        <v>389</v>
      </c>
      <c r="G19" s="4">
        <f t="shared" si="1"/>
        <v>389</v>
      </c>
      <c r="H19" s="2">
        <v>0</v>
      </c>
      <c r="I19" s="5" t="s">
        <v>11</v>
      </c>
    </row>
    <row r="20" spans="1:9" ht="20.100000000000001" customHeight="1" x14ac:dyDescent="0.25">
      <c r="A20" s="2">
        <v>19</v>
      </c>
      <c r="B20" s="3" t="s">
        <v>35</v>
      </c>
      <c r="C20" s="2" t="s">
        <v>27</v>
      </c>
      <c r="D20" s="2">
        <v>1</v>
      </c>
      <c r="E20" s="4">
        <v>69.900000000000006</v>
      </c>
      <c r="F20" s="4">
        <f t="shared" si="0"/>
        <v>69.900000000000006</v>
      </c>
      <c r="G20" s="4">
        <f t="shared" si="1"/>
        <v>69.900000000000006</v>
      </c>
      <c r="H20" s="2">
        <v>0</v>
      </c>
      <c r="I20" s="5" t="s">
        <v>11</v>
      </c>
    </row>
    <row r="21" spans="1:9" ht="20.100000000000001" customHeight="1" x14ac:dyDescent="0.25">
      <c r="A21" s="2">
        <v>20</v>
      </c>
      <c r="B21" s="3" t="s">
        <v>29</v>
      </c>
      <c r="C21" s="2" t="s">
        <v>27</v>
      </c>
      <c r="D21" s="2">
        <v>1</v>
      </c>
      <c r="E21" s="4">
        <v>19.899999999999999</v>
      </c>
      <c r="F21" s="4">
        <f t="shared" si="0"/>
        <v>19.899999999999999</v>
      </c>
      <c r="G21" s="4">
        <f t="shared" si="1"/>
        <v>19.899999999999999</v>
      </c>
      <c r="H21" s="2">
        <v>1</v>
      </c>
      <c r="I21" s="5" t="s">
        <v>11</v>
      </c>
    </row>
    <row r="22" spans="1:9" ht="8.1" customHeight="1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ht="24" customHeight="1" x14ac:dyDescent="0.25">
      <c r="A23" s="7"/>
      <c r="B23" s="7" t="s">
        <v>30</v>
      </c>
      <c r="C23" s="7"/>
      <c r="D23" s="7"/>
      <c r="E23" s="7"/>
      <c r="F23" s="7"/>
      <c r="G23" s="8">
        <f>SUMIF(H$2:H$21, 0, G$2:G$21)</f>
        <v>969.58</v>
      </c>
      <c r="H23" s="7"/>
      <c r="I23" s="7"/>
    </row>
    <row r="24" spans="1:9" ht="24" customHeight="1" x14ac:dyDescent="0.25">
      <c r="A24" s="9"/>
      <c r="B24" s="9" t="s">
        <v>31</v>
      </c>
      <c r="C24" s="9"/>
      <c r="D24" s="9"/>
      <c r="E24" s="9"/>
      <c r="F24" s="9"/>
      <c r="G24" s="10">
        <f>SUM(G$2:G$21)</f>
        <v>1003.5500000000001</v>
      </c>
      <c r="H24" s="9"/>
      <c r="I24" s="9"/>
    </row>
  </sheetData>
  <conditionalFormatting sqref="A2:I21">
    <cfRule type="expression" dxfId="0" priority="1">
      <formula>$H2=1</formula>
    </cfRule>
  </conditionalFormatting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Rover ESP32-S3</vt:lpstr>
      <vt:lpstr>Rover Raspberry Pi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Henrique Oliveira Batista</cp:lastModifiedBy>
  <dcterms:created xsi:type="dcterms:W3CDTF">2026-09-24T15:57:32Z</dcterms:created>
  <dcterms:modified xsi:type="dcterms:W3CDTF">2026-09-24T16:08:17Z</dcterms:modified>
</cp:coreProperties>
</file>